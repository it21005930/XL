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8001_{5629C017-B381-4DFB-B558-8335933F9526}" xr6:coauthVersionLast="47" xr6:coauthVersionMax="47" xr10:uidLastSave="{00000000-0000-0000-0000-000000000000}"/>
  <bookViews>
    <workbookView xWindow="-108" yWindow="-108" windowWidth="23256" windowHeight="12456" tabRatio="877" xr2:uid="{00000000-000D-0000-FFFF-FFFF00000000}"/>
  </bookViews>
  <sheets>
    <sheet name="TOTAL SHEET" sheetId="8" r:id="rId1"/>
    <sheet name="NAME 01" sheetId="9" r:id="rId2"/>
    <sheet name="NAME 02" sheetId="10" r:id="rId3"/>
    <sheet name="NAME 03" sheetId="11" r:id="rId4"/>
    <sheet name="NAME 04" sheetId="12" r:id="rId5"/>
    <sheet name="NAME 05" sheetId="13" r:id="rId6"/>
    <sheet name=" CHART" sheetId="1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5" i="13" l="1"/>
  <c r="E35" i="13"/>
  <c r="F35" i="13"/>
  <c r="G35" i="13"/>
  <c r="H35" i="13"/>
  <c r="I35" i="13"/>
  <c r="J35" i="13"/>
  <c r="K35" i="13"/>
  <c r="L35" i="13"/>
  <c r="M35" i="13"/>
  <c r="N35" i="13"/>
  <c r="C35" i="13"/>
  <c r="D35" i="12"/>
  <c r="E35" i="12"/>
  <c r="F35" i="12"/>
  <c r="G35" i="12"/>
  <c r="H35" i="12"/>
  <c r="I35" i="12"/>
  <c r="J35" i="12"/>
  <c r="K35" i="12"/>
  <c r="L35" i="12"/>
  <c r="M35" i="12"/>
  <c r="N35" i="12"/>
  <c r="C35" i="12"/>
  <c r="D35" i="11"/>
  <c r="E35" i="11"/>
  <c r="F35" i="11"/>
  <c r="G35" i="11"/>
  <c r="H35" i="11"/>
  <c r="I35" i="11"/>
  <c r="J35" i="11"/>
  <c r="K35" i="11"/>
  <c r="L35" i="11"/>
  <c r="M35" i="11"/>
  <c r="N35" i="11"/>
  <c r="C35" i="11"/>
  <c r="D35" i="10"/>
  <c r="E35" i="10"/>
  <c r="F35" i="10"/>
  <c r="G35" i="10"/>
  <c r="H35" i="10"/>
  <c r="I35" i="10"/>
  <c r="J35" i="10"/>
  <c r="K35" i="10"/>
  <c r="L35" i="10"/>
  <c r="M35" i="10"/>
  <c r="N35" i="10"/>
  <c r="C35" i="10"/>
  <c r="R35" i="11" l="1"/>
  <c r="R35" i="13"/>
  <c r="R35" i="12"/>
  <c r="D35" i="9"/>
  <c r="E35" i="9"/>
  <c r="F35" i="9"/>
  <c r="G35" i="9"/>
  <c r="H35" i="9"/>
  <c r="I35" i="9"/>
  <c r="J35" i="9"/>
  <c r="K35" i="9"/>
  <c r="L35" i="9"/>
  <c r="M35" i="9"/>
  <c r="N35" i="9"/>
  <c r="C35" i="9"/>
  <c r="N80" i="8"/>
  <c r="M80" i="8"/>
  <c r="L80" i="8"/>
  <c r="K80" i="8"/>
  <c r="J80" i="8"/>
  <c r="I80" i="8"/>
  <c r="H80" i="8"/>
  <c r="G80" i="8"/>
  <c r="F80" i="8"/>
  <c r="E80" i="8"/>
  <c r="D80" i="8"/>
  <c r="C80" i="8"/>
  <c r="O77" i="8"/>
  <c r="P77" i="8" s="1"/>
  <c r="O76" i="8"/>
  <c r="P76" i="8" s="1"/>
  <c r="O75" i="8"/>
  <c r="P75" i="8" s="1"/>
  <c r="O74" i="8"/>
  <c r="P74" i="8" s="1"/>
  <c r="O73" i="8"/>
  <c r="P73" i="8" s="1"/>
  <c r="R35" i="10" l="1"/>
  <c r="F70" i="8"/>
  <c r="E28" i="13"/>
  <c r="F28" i="13"/>
  <c r="G28" i="13"/>
  <c r="H28" i="13"/>
  <c r="I28" i="13"/>
  <c r="J28" i="13"/>
  <c r="K28" i="13"/>
  <c r="L28" i="13"/>
  <c r="M28" i="13"/>
  <c r="N28" i="13"/>
  <c r="D28" i="13"/>
  <c r="C28" i="13"/>
  <c r="E21" i="13"/>
  <c r="F21" i="13"/>
  <c r="G21" i="13"/>
  <c r="H21" i="13"/>
  <c r="I21" i="13"/>
  <c r="J21" i="13"/>
  <c r="K21" i="13"/>
  <c r="L21" i="13"/>
  <c r="M21" i="13"/>
  <c r="N21" i="13"/>
  <c r="D21" i="13"/>
  <c r="C21" i="13"/>
  <c r="E14" i="13"/>
  <c r="F14" i="13"/>
  <c r="G14" i="13"/>
  <c r="H14" i="13"/>
  <c r="I14" i="13"/>
  <c r="J14" i="13"/>
  <c r="K14" i="13"/>
  <c r="L14" i="13"/>
  <c r="M14" i="13"/>
  <c r="N14" i="13"/>
  <c r="D14" i="13"/>
  <c r="C14" i="13"/>
  <c r="E7" i="13"/>
  <c r="F7" i="13"/>
  <c r="G7" i="13"/>
  <c r="H7" i="13"/>
  <c r="I7" i="13"/>
  <c r="J7" i="13"/>
  <c r="K7" i="13"/>
  <c r="L7" i="13"/>
  <c r="M7" i="13"/>
  <c r="N7" i="13"/>
  <c r="D7" i="13"/>
  <c r="C7" i="13"/>
  <c r="E28" i="12"/>
  <c r="F28" i="12"/>
  <c r="G28" i="12"/>
  <c r="H28" i="12"/>
  <c r="I28" i="12"/>
  <c r="J28" i="12"/>
  <c r="K28" i="12"/>
  <c r="L28" i="12"/>
  <c r="M28" i="12"/>
  <c r="N28" i="12"/>
  <c r="D28" i="12"/>
  <c r="C28" i="12"/>
  <c r="E21" i="12"/>
  <c r="F21" i="12"/>
  <c r="G21" i="12"/>
  <c r="H21" i="12"/>
  <c r="I21" i="12"/>
  <c r="J21" i="12"/>
  <c r="K21" i="12"/>
  <c r="L21" i="12"/>
  <c r="M21" i="12"/>
  <c r="N21" i="12"/>
  <c r="D21" i="12"/>
  <c r="C21" i="12"/>
  <c r="E14" i="12"/>
  <c r="F14" i="12"/>
  <c r="G14" i="12"/>
  <c r="H14" i="12"/>
  <c r="I14" i="12"/>
  <c r="J14" i="12"/>
  <c r="K14" i="12"/>
  <c r="L14" i="12"/>
  <c r="M14" i="12"/>
  <c r="N14" i="12"/>
  <c r="D14" i="12"/>
  <c r="C14" i="12"/>
  <c r="E7" i="12"/>
  <c r="F7" i="12"/>
  <c r="G7" i="12"/>
  <c r="H7" i="12"/>
  <c r="I7" i="12"/>
  <c r="J7" i="12"/>
  <c r="K7" i="12"/>
  <c r="L7" i="12"/>
  <c r="M7" i="12"/>
  <c r="N7" i="12"/>
  <c r="D7" i="12"/>
  <c r="C7" i="12"/>
  <c r="D7" i="11"/>
  <c r="E7" i="11"/>
  <c r="F7" i="11"/>
  <c r="G7" i="11"/>
  <c r="H7" i="11"/>
  <c r="I7" i="11"/>
  <c r="J7" i="11"/>
  <c r="K7" i="11"/>
  <c r="L7" i="11"/>
  <c r="M7" i="11"/>
  <c r="N7" i="11"/>
  <c r="E28" i="11"/>
  <c r="F28" i="11"/>
  <c r="G28" i="11"/>
  <c r="H28" i="11"/>
  <c r="I28" i="11"/>
  <c r="J28" i="11"/>
  <c r="K28" i="11"/>
  <c r="L28" i="11"/>
  <c r="M28" i="11"/>
  <c r="N28" i="11"/>
  <c r="D28" i="11"/>
  <c r="C28" i="11"/>
  <c r="C7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E28" i="10"/>
  <c r="F28" i="10"/>
  <c r="G28" i="10"/>
  <c r="H28" i="10"/>
  <c r="I28" i="10"/>
  <c r="J28" i="10"/>
  <c r="K28" i="10"/>
  <c r="L28" i="10"/>
  <c r="M28" i="10"/>
  <c r="N28" i="10"/>
  <c r="D28" i="10"/>
  <c r="C28" i="10"/>
  <c r="E21" i="10"/>
  <c r="F21" i="10"/>
  <c r="G21" i="10"/>
  <c r="H21" i="10"/>
  <c r="I21" i="10"/>
  <c r="J21" i="10"/>
  <c r="K21" i="10"/>
  <c r="L21" i="10"/>
  <c r="M21" i="10"/>
  <c r="N21" i="10"/>
  <c r="D21" i="10"/>
  <c r="C21" i="10"/>
  <c r="E14" i="10"/>
  <c r="F14" i="10"/>
  <c r="G14" i="10"/>
  <c r="H14" i="10"/>
  <c r="I14" i="10"/>
  <c r="J14" i="10"/>
  <c r="K14" i="10"/>
  <c r="L14" i="10"/>
  <c r="M14" i="10"/>
  <c r="N14" i="10"/>
  <c r="D14" i="10"/>
  <c r="C14" i="10"/>
  <c r="E7" i="10"/>
  <c r="F7" i="10"/>
  <c r="G7" i="10"/>
  <c r="H7" i="10"/>
  <c r="I7" i="10"/>
  <c r="J7" i="10"/>
  <c r="K7" i="10"/>
  <c r="L7" i="10"/>
  <c r="M7" i="10"/>
  <c r="N7" i="10"/>
  <c r="D7" i="10"/>
  <c r="C7" i="10"/>
  <c r="E28" i="9"/>
  <c r="F28" i="9"/>
  <c r="G28" i="9"/>
  <c r="H28" i="9"/>
  <c r="I28" i="9"/>
  <c r="J28" i="9"/>
  <c r="K28" i="9"/>
  <c r="L28" i="9"/>
  <c r="M28" i="9"/>
  <c r="N28" i="9"/>
  <c r="D28" i="9"/>
  <c r="C28" i="9"/>
  <c r="E21" i="9"/>
  <c r="F21" i="9"/>
  <c r="G21" i="9"/>
  <c r="H21" i="9"/>
  <c r="I21" i="9"/>
  <c r="J21" i="9"/>
  <c r="K21" i="9"/>
  <c r="L21" i="9"/>
  <c r="M21" i="9"/>
  <c r="N21" i="9"/>
  <c r="D21" i="9"/>
  <c r="C21" i="9"/>
  <c r="E14" i="9"/>
  <c r="F14" i="9"/>
  <c r="G14" i="9"/>
  <c r="H14" i="9"/>
  <c r="I14" i="9"/>
  <c r="J14" i="9"/>
  <c r="K14" i="9"/>
  <c r="L14" i="9"/>
  <c r="M14" i="9"/>
  <c r="N14" i="9"/>
  <c r="D14" i="9"/>
  <c r="C14" i="9"/>
  <c r="R21" i="11" l="1"/>
  <c r="R28" i="11"/>
  <c r="R7" i="11"/>
  <c r="R14" i="11"/>
  <c r="E7" i="9"/>
  <c r="F7" i="9"/>
  <c r="G7" i="9"/>
  <c r="H7" i="9"/>
  <c r="I7" i="9"/>
  <c r="J7" i="9"/>
  <c r="K7" i="9"/>
  <c r="L7" i="9"/>
  <c r="M7" i="9"/>
  <c r="N7" i="9"/>
  <c r="D7" i="9"/>
  <c r="C7" i="9"/>
  <c r="C30" i="8"/>
  <c r="R14" i="9"/>
  <c r="R28" i="13"/>
  <c r="R21" i="13"/>
  <c r="R14" i="13"/>
  <c r="R7" i="13"/>
  <c r="R28" i="12"/>
  <c r="R21" i="12"/>
  <c r="R14" i="12"/>
  <c r="R7" i="12"/>
  <c r="R28" i="10"/>
  <c r="R21" i="10"/>
  <c r="R14" i="10"/>
  <c r="R7" i="10"/>
  <c r="R28" i="9"/>
  <c r="R21" i="9"/>
  <c r="H1" i="11" l="1"/>
  <c r="H1" i="12"/>
  <c r="H1" i="13"/>
  <c r="H1" i="10"/>
  <c r="R7" i="9"/>
  <c r="N63" i="8"/>
  <c r="M63" i="8"/>
  <c r="L63" i="8"/>
  <c r="K63" i="8"/>
  <c r="J63" i="8"/>
  <c r="I63" i="8"/>
  <c r="H63" i="8"/>
  <c r="G63" i="8"/>
  <c r="F63" i="8"/>
  <c r="E63" i="8"/>
  <c r="D63" i="8"/>
  <c r="C63" i="8"/>
  <c r="O60" i="8"/>
  <c r="P60" i="8" s="1"/>
  <c r="O59" i="8"/>
  <c r="P59" i="8" s="1"/>
  <c r="O58" i="8"/>
  <c r="P58" i="8" s="1"/>
  <c r="O57" i="8"/>
  <c r="P57" i="8" s="1"/>
  <c r="O56" i="8"/>
  <c r="P56" i="8" s="1"/>
  <c r="N47" i="8"/>
  <c r="M47" i="8"/>
  <c r="L47" i="8"/>
  <c r="K47" i="8"/>
  <c r="J47" i="8"/>
  <c r="I47" i="8"/>
  <c r="H47" i="8"/>
  <c r="G47" i="8"/>
  <c r="F47" i="8"/>
  <c r="E47" i="8"/>
  <c r="D47" i="8"/>
  <c r="C47" i="8"/>
  <c r="O44" i="8"/>
  <c r="P44" i="8" s="1"/>
  <c r="O43" i="8"/>
  <c r="P43" i="8" s="1"/>
  <c r="O42" i="8"/>
  <c r="P42" i="8" s="1"/>
  <c r="O41" i="8"/>
  <c r="P41" i="8" s="1"/>
  <c r="O40" i="8"/>
  <c r="P40" i="8" s="1"/>
  <c r="N30" i="8"/>
  <c r="M30" i="8"/>
  <c r="L30" i="8"/>
  <c r="K30" i="8"/>
  <c r="J30" i="8"/>
  <c r="I30" i="8"/>
  <c r="H30" i="8"/>
  <c r="G30" i="8"/>
  <c r="F30" i="8"/>
  <c r="E30" i="8"/>
  <c r="D30" i="8"/>
  <c r="O27" i="8"/>
  <c r="P27" i="8" s="1"/>
  <c r="O26" i="8"/>
  <c r="P26" i="8" s="1"/>
  <c r="O25" i="8"/>
  <c r="P25" i="8" s="1"/>
  <c r="O24" i="8"/>
  <c r="P24" i="8" s="1"/>
  <c r="O23" i="8"/>
  <c r="P23" i="8" s="1"/>
  <c r="N13" i="8"/>
  <c r="M13" i="8"/>
  <c r="L13" i="8"/>
  <c r="K13" i="8"/>
  <c r="J13" i="8"/>
  <c r="I13" i="8"/>
  <c r="H13" i="8"/>
  <c r="G13" i="8"/>
  <c r="F13" i="8"/>
  <c r="E13" i="8"/>
  <c r="D13" i="8"/>
  <c r="O10" i="8"/>
  <c r="P10" i="8" s="1"/>
  <c r="O9" i="8"/>
  <c r="P9" i="8" s="1"/>
  <c r="O8" i="8"/>
  <c r="P8" i="8" s="1"/>
  <c r="O7" i="8"/>
  <c r="P7" i="8" s="1"/>
  <c r="R35" i="9" l="1"/>
  <c r="H1" i="9" s="1"/>
  <c r="F53" i="8"/>
  <c r="F37" i="8"/>
  <c r="F20" i="8"/>
  <c r="C13" i="8"/>
  <c r="F3" i="8" s="1"/>
  <c r="I1" i="8" l="1"/>
  <c r="O6" i="8"/>
  <c r="P6" i="8" s="1"/>
</calcChain>
</file>

<file path=xl/sharedStrings.xml><?xml version="1.0" encoding="utf-8"?>
<sst xmlns="http://schemas.openxmlformats.org/spreadsheetml/2006/main" count="573" uniqueCount="42">
  <si>
    <t>Name</t>
  </si>
  <si>
    <t>NO</t>
  </si>
  <si>
    <t>July</t>
  </si>
  <si>
    <t>August</t>
  </si>
  <si>
    <t>September</t>
  </si>
  <si>
    <t>October</t>
  </si>
  <si>
    <t>November</t>
  </si>
  <si>
    <t>December</t>
  </si>
  <si>
    <t>Interest</t>
  </si>
  <si>
    <t>Monthly Total</t>
  </si>
  <si>
    <t>Withdrawal</t>
  </si>
  <si>
    <t>January</t>
  </si>
  <si>
    <t>February</t>
  </si>
  <si>
    <t>March</t>
  </si>
  <si>
    <t>April</t>
  </si>
  <si>
    <t>May</t>
  </si>
  <si>
    <t>June</t>
  </si>
  <si>
    <t>TOTAL</t>
  </si>
  <si>
    <t>2014 Total</t>
  </si>
  <si>
    <t>No</t>
  </si>
  <si>
    <t>Total</t>
  </si>
  <si>
    <t>NAME 01</t>
  </si>
  <si>
    <t>NAME 02</t>
  </si>
  <si>
    <t>NAME 03</t>
  </si>
  <si>
    <t>NAME 04</t>
  </si>
  <si>
    <t>NAME 05</t>
  </si>
  <si>
    <t>All are paid</t>
  </si>
  <si>
    <t>Monthly Pay</t>
  </si>
  <si>
    <t>Deposite</t>
  </si>
  <si>
    <t>20**</t>
  </si>
  <si>
    <t>20**(1)</t>
  </si>
  <si>
    <t>20**(2)</t>
  </si>
  <si>
    <t>20**(3)</t>
  </si>
  <si>
    <t>20**(4)</t>
  </si>
  <si>
    <t>20** (1)  ………………..  Society</t>
  </si>
  <si>
    <t>20**(2)   ………………..  Society</t>
  </si>
  <si>
    <t>20**(3)   ………………..  Society</t>
  </si>
  <si>
    <t>20**(4)  ………………..  Society</t>
  </si>
  <si>
    <t xml:space="preserve">20** </t>
  </si>
  <si>
    <t>5 Year Program</t>
  </si>
  <si>
    <t>20**(5)</t>
  </si>
  <si>
    <t>20**(5)  ………………..  Society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</si>
</sst>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[$Rs.-4009]\ * #,##0.00_ ;_ [$Rs.-4009]\ * \-#,##0.00_ ;_ [$Rs.-4009]\ * &quot;-&quot;??_ ;_ @_ "/>
    <numFmt numFmtId="165" formatCode="[$Rs.-849]\ #,##0.00"/>
    <numFmt numFmtId="166" formatCode="[$Rs.-4009]\ #,##0.00"/>
  </numFmts>
  <fonts count="5" x14ac:knownFonts="1">
    <font>
      <sz val="11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vertical="center"/>
    </xf>
    <xf numFmtId="0" fontId="0" fillId="7" borderId="3" xfId="0" applyFill="1" applyBorder="1"/>
    <xf numFmtId="0" fontId="0" fillId="11" borderId="3" xfId="0" applyFill="1" applyBorder="1" applyAlignment="1">
      <alignment horizontal="center" vertical="center"/>
    </xf>
    <xf numFmtId="164" fontId="0" fillId="11" borderId="3" xfId="0" applyNumberFormat="1" applyFill="1" applyBorder="1"/>
    <xf numFmtId="0" fontId="0" fillId="11" borderId="3" xfId="0" applyFill="1" applyBorder="1"/>
    <xf numFmtId="0" fontId="0" fillId="12" borderId="3" xfId="0" applyFill="1" applyBorder="1" applyAlignment="1">
      <alignment horizontal="center" vertical="center"/>
    </xf>
    <xf numFmtId="164" fontId="0" fillId="12" borderId="3" xfId="0" applyNumberFormat="1" applyFill="1" applyBorder="1" applyAlignment="1">
      <alignment vertical="center"/>
    </xf>
    <xf numFmtId="0" fontId="0" fillId="13" borderId="3" xfId="0" applyFill="1" applyBorder="1" applyAlignment="1">
      <alignment horizontal="center"/>
    </xf>
    <xf numFmtId="0" fontId="0" fillId="6" borderId="3" xfId="0" applyFill="1" applyBorder="1"/>
    <xf numFmtId="0" fontId="0" fillId="8" borderId="3" xfId="0" applyFill="1" applyBorder="1"/>
    <xf numFmtId="0" fontId="0" fillId="9" borderId="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64" fontId="0" fillId="8" borderId="3" xfId="0" applyNumberFormat="1" applyFill="1" applyBorder="1"/>
    <xf numFmtId="164" fontId="0" fillId="8" borderId="3" xfId="0" applyNumberFormat="1" applyFill="1" applyBorder="1" applyAlignment="1">
      <alignment horizontal="center" vertical="center"/>
    </xf>
    <xf numFmtId="0" fontId="0" fillId="14" borderId="0" xfId="0" applyFill="1"/>
    <xf numFmtId="0" fontId="0" fillId="6" borderId="7" xfId="0" applyFill="1" applyBorder="1" applyAlignment="1">
      <alignment horizontal="center" vertical="center"/>
    </xf>
    <xf numFmtId="164" fontId="0" fillId="8" borderId="3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2" borderId="2" xfId="0" applyFill="1" applyBorder="1" applyAlignment="1">
      <alignment vertical="center"/>
    </xf>
    <xf numFmtId="164" fontId="0" fillId="2" borderId="0" xfId="0" applyNumberFormat="1" applyFill="1" applyBorder="1" applyAlignment="1">
      <alignment vertical="center"/>
    </xf>
    <xf numFmtId="0" fontId="0" fillId="13" borderId="3" xfId="0" applyFill="1" applyBorder="1" applyProtection="1">
      <protection locked="0"/>
    </xf>
    <xf numFmtId="0" fontId="0" fillId="9" borderId="3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4" borderId="3" xfId="0" applyFill="1" applyBorder="1" applyProtection="1">
      <protection locked="0"/>
    </xf>
    <xf numFmtId="164" fontId="0" fillId="6" borderId="3" xfId="0" applyNumberFormat="1" applyFill="1" applyBorder="1" applyProtection="1">
      <protection locked="0"/>
    </xf>
    <xf numFmtId="164" fontId="0" fillId="11" borderId="3" xfId="0" applyNumberFormat="1" applyFill="1" applyBorder="1" applyProtection="1">
      <protection locked="0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/>
    <xf numFmtId="164" fontId="1" fillId="2" borderId="0" xfId="0" applyNumberFormat="1" applyFont="1" applyFill="1" applyBorder="1" applyProtection="1">
      <protection locked="0"/>
    </xf>
    <xf numFmtId="164" fontId="1" fillId="2" borderId="0" xfId="0" applyNumberFormat="1" applyFont="1" applyFill="1" applyBorder="1"/>
    <xf numFmtId="0" fontId="1" fillId="2" borderId="10" xfId="0" applyFont="1" applyFill="1" applyBorder="1" applyAlignment="1">
      <alignment horizontal="center" vertical="center"/>
    </xf>
    <xf numFmtId="164" fontId="0" fillId="2" borderId="3" xfId="0" applyNumberFormat="1" applyFont="1" applyFill="1" applyBorder="1" applyAlignment="1" applyProtection="1">
      <alignment horizontal="center"/>
    </xf>
    <xf numFmtId="165" fontId="0" fillId="2" borderId="11" xfId="0" applyNumberFormat="1" applyFont="1" applyFill="1" applyBorder="1" applyProtection="1"/>
    <xf numFmtId="0" fontId="0" fillId="16" borderId="0" xfId="0" applyFill="1"/>
    <xf numFmtId="0" fontId="0" fillId="2" borderId="6" xfId="0" applyFill="1" applyBorder="1"/>
    <xf numFmtId="0" fontId="1" fillId="2" borderId="0" xfId="0" applyFont="1" applyFill="1" applyBorder="1"/>
    <xf numFmtId="164" fontId="0" fillId="15" borderId="3" xfId="0" applyNumberFormat="1" applyFont="1" applyFill="1" applyBorder="1" applyAlignment="1" applyProtection="1">
      <alignment horizontal="center"/>
    </xf>
    <xf numFmtId="164" fontId="0" fillId="17" borderId="3" xfId="0" applyNumberFormat="1" applyFont="1" applyFill="1" applyBorder="1" applyAlignment="1" applyProtection="1">
      <alignment horizontal="center"/>
    </xf>
    <xf numFmtId="0" fontId="0" fillId="15" borderId="3" xfId="0" applyFill="1" applyBorder="1" applyAlignment="1">
      <alignment horizontal="center"/>
    </xf>
    <xf numFmtId="0" fontId="0" fillId="15" borderId="3" xfId="0" applyFill="1" applyBorder="1" applyProtection="1">
      <protection locked="0"/>
    </xf>
    <xf numFmtId="0" fontId="0" fillId="17" borderId="3" xfId="0" applyFont="1" applyFill="1" applyBorder="1" applyAlignment="1">
      <alignment horizontal="center" vertical="center"/>
    </xf>
    <xf numFmtId="165" fontId="0" fillId="6" borderId="11" xfId="0" applyNumberFormat="1" applyFill="1" applyBorder="1" applyAlignment="1" applyProtection="1">
      <alignment horizontal="center"/>
      <protection locked="0"/>
    </xf>
    <xf numFmtId="0" fontId="0" fillId="8" borderId="3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20" borderId="13" xfId="0" applyFill="1" applyBorder="1"/>
    <xf numFmtId="165" fontId="0" fillId="21" borderId="3" xfId="0" applyNumberFormat="1" applyFill="1" applyBorder="1" applyAlignment="1">
      <alignment horizontal="center"/>
    </xf>
    <xf numFmtId="165" fontId="0" fillId="18" borderId="3" xfId="0" applyNumberFormat="1" applyFill="1" applyBorder="1"/>
    <xf numFmtId="165" fontId="0" fillId="3" borderId="3" xfId="0" applyNumberFormat="1" applyFill="1" applyBorder="1"/>
    <xf numFmtId="165" fontId="0" fillId="8" borderId="3" xfId="0" applyNumberFormat="1" applyFill="1" applyBorder="1" applyAlignment="1">
      <alignment horizontal="center"/>
    </xf>
    <xf numFmtId="0" fontId="2" fillId="14" borderId="0" xfId="1" applyFill="1"/>
    <xf numFmtId="165" fontId="0" fillId="19" borderId="3" xfId="0" applyNumberFormat="1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65" fontId="0" fillId="18" borderId="3" xfId="0" applyNumberFormat="1" applyFill="1" applyBorder="1" applyAlignment="1">
      <alignment horizontal="center"/>
    </xf>
    <xf numFmtId="165" fontId="0" fillId="11" borderId="3" xfId="0" applyNumberFormat="1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0" fillId="21" borderId="12" xfId="0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0" fontId="0" fillId="5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>
      <alignment horizontal="center" vertical="center"/>
    </xf>
    <xf numFmtId="166" fontId="0" fillId="11" borderId="3" xfId="0" applyNumberFormat="1" applyFill="1" applyBorder="1" applyAlignment="1" applyProtection="1">
      <alignment horizontal="center"/>
      <protection locked="0"/>
    </xf>
    <xf numFmtId="0" fontId="0" fillId="14" borderId="0" xfId="0" applyFill="1" applyBorder="1"/>
    <xf numFmtId="0" fontId="0" fillId="14" borderId="0" xfId="0" applyFill="1" applyBorder="1" applyAlignment="1">
      <alignment horizontal="center"/>
    </xf>
    <xf numFmtId="165" fontId="0" fillId="14" borderId="0" xfId="0" applyNumberFormat="1" applyFill="1" applyBorder="1" applyAlignment="1">
      <alignment horizontal="center"/>
    </xf>
    <xf numFmtId="0" fontId="0" fillId="14" borderId="0" xfId="0" applyFill="1" applyBorder="1" applyAlignment="1" applyProtection="1">
      <alignment horizontal="center"/>
      <protection locked="0"/>
    </xf>
    <xf numFmtId="165" fontId="0" fillId="14" borderId="0" xfId="0" applyNumberFormat="1" applyFill="1" applyBorder="1" applyAlignment="1" applyProtection="1">
      <alignment horizontal="center"/>
      <protection locked="0"/>
    </xf>
    <xf numFmtId="166" fontId="0" fillId="15" borderId="9" xfId="0" applyNumberFormat="1" applyFill="1" applyBorder="1" applyAlignment="1" applyProtection="1">
      <alignment horizontal="left"/>
      <protection locked="0"/>
    </xf>
    <xf numFmtId="166" fontId="0" fillId="15" borderId="3" xfId="0" applyNumberFormat="1" applyFill="1" applyBorder="1" applyAlignment="1" applyProtection="1">
      <alignment horizontal="left"/>
      <protection locked="0"/>
    </xf>
    <xf numFmtId="166" fontId="4" fillId="15" borderId="3" xfId="1" applyNumberFormat="1" applyFont="1" applyFill="1" applyBorder="1" applyAlignment="1" applyProtection="1">
      <alignment horizontal="left"/>
      <protection locked="0"/>
    </xf>
    <xf numFmtId="166" fontId="0" fillId="9" borderId="9" xfId="0" applyNumberFormat="1" applyFill="1" applyBorder="1" applyAlignment="1" applyProtection="1">
      <alignment horizontal="left"/>
      <protection locked="0"/>
    </xf>
    <xf numFmtId="166" fontId="0" fillId="9" borderId="3" xfId="0" applyNumberFormat="1" applyFill="1" applyBorder="1" applyAlignment="1" applyProtection="1">
      <alignment horizontal="left"/>
      <protection locked="0"/>
    </xf>
    <xf numFmtId="166" fontId="0" fillId="10" borderId="9" xfId="0" applyNumberFormat="1" applyFill="1" applyBorder="1" applyAlignment="1" applyProtection="1">
      <alignment horizontal="left"/>
      <protection locked="0"/>
    </xf>
    <xf numFmtId="166" fontId="0" fillId="10" borderId="5" xfId="0" applyNumberFormat="1" applyFill="1" applyBorder="1" applyAlignment="1" applyProtection="1">
      <alignment horizontal="left"/>
      <protection locked="0"/>
    </xf>
    <xf numFmtId="166" fontId="0" fillId="10" borderId="3" xfId="0" applyNumberFormat="1" applyFill="1" applyBorder="1" applyAlignment="1" applyProtection="1">
      <alignment horizontal="left"/>
      <protection locked="0"/>
    </xf>
    <xf numFmtId="166" fontId="0" fillId="13" borderId="9" xfId="0" applyNumberFormat="1" applyFill="1" applyBorder="1" applyAlignment="1" applyProtection="1">
      <alignment horizontal="left"/>
      <protection locked="0"/>
    </xf>
    <xf numFmtId="166" fontId="0" fillId="13" borderId="3" xfId="0" applyNumberFormat="1" applyFill="1" applyBorder="1" applyAlignment="1" applyProtection="1">
      <alignment horizontal="left"/>
      <protection locked="0"/>
    </xf>
    <xf numFmtId="166" fontId="0" fillId="4" borderId="9" xfId="0" applyNumberFormat="1" applyFill="1" applyBorder="1" applyAlignment="1" applyProtection="1">
      <alignment horizontal="left"/>
      <protection locked="0"/>
    </xf>
    <xf numFmtId="166" fontId="0" fillId="4" borderId="3" xfId="0" applyNumberFormat="1" applyFill="1" applyBorder="1" applyAlignment="1" applyProtection="1">
      <alignment horizontal="left"/>
      <protection locked="0"/>
    </xf>
    <xf numFmtId="166" fontId="0" fillId="15" borderId="3" xfId="0" applyNumberFormat="1" applyFont="1" applyFill="1" applyBorder="1" applyAlignment="1" applyProtection="1">
      <alignment horizontal="left"/>
      <protection locked="0"/>
    </xf>
    <xf numFmtId="166" fontId="0" fillId="9" borderId="3" xfId="0" applyNumberFormat="1" applyFont="1" applyFill="1" applyBorder="1" applyAlignment="1" applyProtection="1">
      <alignment horizontal="left"/>
      <protection locked="0"/>
    </xf>
    <xf numFmtId="166" fontId="0" fillId="10" borderId="3" xfId="0" applyNumberFormat="1" applyFont="1" applyFill="1" applyBorder="1" applyAlignment="1" applyProtection="1">
      <alignment horizontal="left"/>
      <protection locked="0"/>
    </xf>
    <xf numFmtId="166" fontId="0" fillId="13" borderId="3" xfId="0" applyNumberFormat="1" applyFont="1" applyFill="1" applyBorder="1" applyAlignment="1" applyProtection="1">
      <alignment horizontal="left"/>
      <protection locked="0"/>
    </xf>
    <xf numFmtId="166" fontId="0" fillId="4" borderId="9" xfId="0" applyNumberFormat="1" applyFont="1" applyFill="1" applyBorder="1" applyAlignment="1" applyProtection="1">
      <alignment horizontal="left"/>
      <protection locked="0"/>
    </xf>
    <xf numFmtId="166" fontId="0" fillId="4" borderId="3" xfId="0" applyNumberFormat="1" applyFont="1" applyFill="1" applyBorder="1" applyAlignment="1" applyProtection="1">
      <alignment horizontal="left"/>
      <protection locked="0"/>
    </xf>
    <xf numFmtId="166" fontId="0" fillId="15" borderId="3" xfId="0" applyNumberFormat="1" applyFill="1" applyBorder="1" applyAlignment="1" applyProtection="1">
      <alignment horizontal="left"/>
    </xf>
    <xf numFmtId="0" fontId="0" fillId="2" borderId="0" xfId="0" applyFill="1" applyBorder="1" applyAlignment="1">
      <alignment horizontal="center"/>
    </xf>
    <xf numFmtId="0" fontId="3" fillId="22" borderId="4" xfId="0" applyFont="1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8" borderId="0" xfId="0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18" borderId="5" xfId="0" applyFill="1" applyBorder="1" applyAlignment="1">
      <alignment horizontal="center"/>
    </xf>
    <xf numFmtId="0" fontId="0" fillId="18" borderId="12" xfId="0" applyFill="1" applyBorder="1" applyAlignment="1">
      <alignment horizontal="center"/>
    </xf>
    <xf numFmtId="0" fontId="0" fillId="6" borderId="8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 applyProtection="1">
      <alignment horizontal="center" vertical="center"/>
      <protection locked="0"/>
    </xf>
    <xf numFmtId="0" fontId="0" fillId="6" borderId="5" xfId="0" applyFill="1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2" xfId="0" applyFill="1" applyBorder="1" applyAlignment="1" applyProtection="1">
      <alignment horizontal="center" vertical="center"/>
      <protection locked="0"/>
    </xf>
    <xf numFmtId="0" fontId="0" fillId="14" borderId="0" xfId="0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0"/>
      <c:rotY val="60"/>
      <c:depthPercent val="17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3847169566767124E-2"/>
          <c:y val="1.4937873127778776E-2"/>
          <c:w val="0.65630740952333644"/>
          <c:h val="0.38781780522910642"/>
        </c:manualLayout>
      </c:layout>
      <c:bar3DChart>
        <c:barDir val="col"/>
        <c:grouping val="standard"/>
        <c:varyColors val="0"/>
        <c:ser>
          <c:idx val="0"/>
          <c:order val="0"/>
          <c:tx>
            <c:v>Name 01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'NAME 01'!$H$1</c:f>
              <c:numCache>
                <c:formatCode>[$Rs.-849]\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5-416B-B661-681C25D09D6D}"/>
            </c:ext>
          </c:extLst>
        </c:ser>
        <c:ser>
          <c:idx val="1"/>
          <c:order val="1"/>
          <c:tx>
            <c:v>NAME 02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'NAME 02'!$H$1</c:f>
              <c:numCache>
                <c:formatCode>[$Rs.-849]\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5-416B-B661-681C25D09D6D}"/>
            </c:ext>
          </c:extLst>
        </c:ser>
        <c:ser>
          <c:idx val="2"/>
          <c:order val="2"/>
          <c:tx>
            <c:v>NAME 03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'NAME 03'!$H$1</c:f>
              <c:numCache>
                <c:formatCode>[$Rs.-849]\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5-416B-B661-681C25D09D6D}"/>
            </c:ext>
          </c:extLst>
        </c:ser>
        <c:ser>
          <c:idx val="3"/>
          <c:order val="3"/>
          <c:tx>
            <c:v>NAME 04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'NAME 04'!$H$1</c:f>
              <c:numCache>
                <c:formatCode>[$Rs.-849]\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65-416B-B661-681C25D09D6D}"/>
            </c:ext>
          </c:extLst>
        </c:ser>
        <c:ser>
          <c:idx val="4"/>
          <c:order val="4"/>
          <c:tx>
            <c:v>NAME 05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'NAME 05'!$H$1</c:f>
              <c:numCache>
                <c:formatCode>[$Rs.-849]\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65-416B-B661-681C25D09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247344"/>
        <c:axId val="188247728"/>
        <c:axId val="188253232"/>
      </c:bar3DChart>
      <c:catAx>
        <c:axId val="18824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47728"/>
        <c:crosses val="autoZero"/>
        <c:auto val="1"/>
        <c:lblAlgn val="ctr"/>
        <c:lblOffset val="100"/>
        <c:noMultiLvlLbl val="0"/>
      </c:catAx>
      <c:valAx>
        <c:axId val="18824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[$Rs.-849]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47344"/>
        <c:crosses val="autoZero"/>
        <c:crossBetween val="between"/>
      </c:valAx>
      <c:serAx>
        <c:axId val="18825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47728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833049803959692"/>
          <c:y val="3.5854546505840974E-2"/>
          <c:w val="0.10401915038397978"/>
          <c:h val="0.11264158463276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outerShdw blurRad="127000" dist="114300" dir="18000000" sy="23000" kx="-1200000" algn="bl" rotWithShape="0">
        <a:prstClr val="black">
          <a:alpha val="20000"/>
        </a:prstClr>
      </a:outerShdw>
    </a:effectLst>
    <a:scene3d>
      <a:camera prst="orthographicFront"/>
      <a:lightRig rig="threePt" dir="t"/>
    </a:scene3d>
    <a:sp3d>
      <a:bevelT w="50800" h="57150"/>
      <a:bevelB w="19050" h="8890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428626</xdr:colOff>
      <xdr:row>0</xdr:row>
      <xdr:rowOff>0</xdr:rowOff>
    </xdr:from>
    <xdr:to>
      <xdr:col>14</xdr:col>
      <xdr:colOff>0</xdr:colOff>
      <xdr:row>3</xdr:row>
      <xdr:rowOff>71438</xdr:rowOff>
    </xdr:to>
    <xdr:sp macro="[0]!Macro7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965657" y="0"/>
          <a:ext cx="2214562" cy="690563"/>
        </a:xfrm>
        <a:prstGeom prst="righ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GO</a:t>
          </a:r>
          <a:r>
            <a:rPr lang="en-US" sz="1100" baseline="0"/>
            <a:t> TO CHART (Click Hear)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0</xdr:row>
      <xdr:rowOff>28575</xdr:rowOff>
    </xdr:from>
    <xdr:to>
      <xdr:col>11</xdr:col>
      <xdr:colOff>57149</xdr:colOff>
      <xdr:row>2</xdr:row>
      <xdr:rowOff>142875</xdr:rowOff>
    </xdr:to>
    <xdr:sp macro="[0]!Macro1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72100" y="28575"/>
          <a:ext cx="1647824" cy="495300"/>
        </a:xfrm>
        <a:prstGeom prst="leftArrow">
          <a:avLst/>
        </a:prstGeom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Total</a:t>
          </a:r>
          <a:r>
            <a:rPr lang="en-US" sz="1100" baseline="0"/>
            <a:t> Sheet (Click Here)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0</xdr:row>
      <xdr:rowOff>28575</xdr:rowOff>
    </xdr:from>
    <xdr:to>
      <xdr:col>11</xdr:col>
      <xdr:colOff>66674</xdr:colOff>
      <xdr:row>2</xdr:row>
      <xdr:rowOff>142875</xdr:rowOff>
    </xdr:to>
    <xdr:sp macro="[0]!Macro2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81625" y="28575"/>
          <a:ext cx="1647824" cy="495300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Total</a:t>
          </a:r>
          <a:r>
            <a:rPr lang="en-US" sz="1100" baseline="0"/>
            <a:t> Sheet (Click Here)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0</xdr:row>
      <xdr:rowOff>28575</xdr:rowOff>
    </xdr:from>
    <xdr:to>
      <xdr:col>11</xdr:col>
      <xdr:colOff>66674</xdr:colOff>
      <xdr:row>2</xdr:row>
      <xdr:rowOff>142875</xdr:rowOff>
    </xdr:to>
    <xdr:sp macro="[0]!Macro3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81625" y="28575"/>
          <a:ext cx="1647824" cy="495300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Total</a:t>
          </a:r>
          <a:r>
            <a:rPr lang="en-US" sz="1100" baseline="0"/>
            <a:t> Sheet (Click Here)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0</xdr:row>
      <xdr:rowOff>9525</xdr:rowOff>
    </xdr:from>
    <xdr:to>
      <xdr:col>11</xdr:col>
      <xdr:colOff>66674</xdr:colOff>
      <xdr:row>2</xdr:row>
      <xdr:rowOff>123825</xdr:rowOff>
    </xdr:to>
    <xdr:sp macro="[0]!Macro5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381625" y="9525"/>
          <a:ext cx="1647824" cy="495300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Total</a:t>
          </a:r>
          <a:r>
            <a:rPr lang="en-US" sz="1100" baseline="0"/>
            <a:t> Sheet (Click Here)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0</xdr:row>
      <xdr:rowOff>28575</xdr:rowOff>
    </xdr:from>
    <xdr:to>
      <xdr:col>11</xdr:col>
      <xdr:colOff>57149</xdr:colOff>
      <xdr:row>2</xdr:row>
      <xdr:rowOff>142875</xdr:rowOff>
    </xdr:to>
    <xdr:sp macro="[0]!Macro6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372100" y="28575"/>
          <a:ext cx="1647824" cy="495300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Total</a:t>
          </a:r>
          <a:r>
            <a:rPr lang="en-US" sz="1100" baseline="0"/>
            <a:t> Sheet (Click Here)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152400</xdr:colOff>
      <xdr:row>63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0</xdr:row>
      <xdr:rowOff>104775</xdr:rowOff>
    </xdr:from>
    <xdr:to>
      <xdr:col>3</xdr:col>
      <xdr:colOff>438150</xdr:colOff>
      <xdr:row>3</xdr:row>
      <xdr:rowOff>104775</xdr:rowOff>
    </xdr:to>
    <xdr:sp macro="[0]!Macro8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28600" y="104775"/>
          <a:ext cx="2038350" cy="571500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Total Sheet (Click Hear)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84"/>
  <sheetViews>
    <sheetView tabSelected="1" topLeftCell="B1" zoomScale="90" zoomScaleNormal="90" workbookViewId="0">
      <selection activeCell="J3" sqref="J3"/>
    </sheetView>
  </sheetViews>
  <sheetFormatPr defaultColWidth="9.109375" defaultRowHeight="14.4" x14ac:dyDescent="0.3"/>
  <cols>
    <col min="1" max="1" width="8" style="1" customWidth="1"/>
    <col min="2" max="2" width="23.5546875" style="1" bestFit="1" customWidth="1"/>
    <col min="3" max="4" width="14.44140625" style="1" bestFit="1" customWidth="1"/>
    <col min="5" max="5" width="13.109375" style="1" customWidth="1"/>
    <col min="6" max="6" width="15.33203125" style="1" customWidth="1"/>
    <col min="7" max="7" width="13.109375" style="1" bestFit="1" customWidth="1"/>
    <col min="8" max="8" width="13.109375" style="1" customWidth="1"/>
    <col min="9" max="9" width="16" style="1" customWidth="1"/>
    <col min="10" max="10" width="13.33203125" style="1" customWidth="1"/>
    <col min="11" max="14" width="13.109375" style="1" bestFit="1" customWidth="1"/>
    <col min="15" max="15" width="14.88671875" style="31" hidden="1" customWidth="1"/>
    <col min="16" max="16" width="14.88671875" style="31" customWidth="1"/>
    <col min="17" max="16384" width="9.109375" style="1"/>
  </cols>
  <sheetData>
    <row r="1" spans="1:32" ht="18" x14ac:dyDescent="0.3">
      <c r="A1" s="93" t="s">
        <v>39</v>
      </c>
      <c r="B1" s="94"/>
      <c r="C1" s="94"/>
      <c r="D1" s="94"/>
      <c r="E1" s="66"/>
      <c r="F1" s="23"/>
      <c r="G1" s="22"/>
      <c r="H1" s="9" t="s">
        <v>17</v>
      </c>
      <c r="I1" s="10">
        <f>SUM(F3+F20+F37+F53+F70)</f>
        <v>0</v>
      </c>
      <c r="J1" s="37" t="s">
        <v>27</v>
      </c>
      <c r="K1" s="45">
        <v>500</v>
      </c>
      <c r="L1" s="38"/>
    </row>
    <row r="2" spans="1:32" x14ac:dyDescent="0.3">
      <c r="B2" s="2"/>
      <c r="C2" s="2"/>
      <c r="J2" s="95"/>
      <c r="K2" s="95"/>
      <c r="L2" s="30"/>
      <c r="M2" s="30"/>
    </row>
    <row r="3" spans="1:32" x14ac:dyDescent="0.3">
      <c r="A3" s="96" t="s">
        <v>34</v>
      </c>
      <c r="B3" s="96"/>
      <c r="C3" s="96"/>
      <c r="D3" s="97"/>
      <c r="E3" s="6" t="s">
        <v>18</v>
      </c>
      <c r="F3" s="7">
        <f>SUM(C13+D13+E13+F13+G13+H13+I13+J13+K13+L13+M13+N13-N14-N15-N16-N17-M17-M16-M15-M14-L17-L16-L15-L14-K14-K15-K16-K17-J17-J16-J15-J14-I14-I15-I16-I17-H17-H16-H15-H14-G14-G15-G16-G17-F17-F16-F15-F14-E17-E16-E15-E14-D17-D16-D15-D14-C17-C16-C15-C14)</f>
        <v>0</v>
      </c>
      <c r="Q3" s="2"/>
      <c r="R3" s="2"/>
    </row>
    <row r="4" spans="1:32" x14ac:dyDescent="0.3">
      <c r="B4" s="2"/>
      <c r="C4" s="2"/>
      <c r="R4" s="2"/>
      <c r="S4" s="2"/>
      <c r="T4" s="2"/>
      <c r="U4" s="2"/>
      <c r="V4" s="2"/>
      <c r="W4" s="2"/>
      <c r="X4" s="2"/>
    </row>
    <row r="5" spans="1:32" x14ac:dyDescent="0.3">
      <c r="A5" s="4" t="s">
        <v>1</v>
      </c>
      <c r="B5" s="5" t="s">
        <v>0</v>
      </c>
      <c r="C5" s="3" t="s">
        <v>11</v>
      </c>
      <c r="D5" s="3" t="s">
        <v>12</v>
      </c>
      <c r="E5" s="3" t="s">
        <v>13</v>
      </c>
      <c r="F5" s="3" t="s">
        <v>14</v>
      </c>
      <c r="G5" s="3" t="s">
        <v>15</v>
      </c>
      <c r="H5" s="3" t="s">
        <v>16</v>
      </c>
      <c r="I5" s="3" t="s">
        <v>2</v>
      </c>
      <c r="J5" s="3" t="s">
        <v>3</v>
      </c>
      <c r="K5" s="3" t="s">
        <v>4</v>
      </c>
      <c r="L5" s="3" t="s">
        <v>5</v>
      </c>
      <c r="M5" s="3" t="s">
        <v>6</v>
      </c>
      <c r="N5" s="3" t="s">
        <v>7</v>
      </c>
      <c r="O5" s="34"/>
      <c r="P5" s="44" t="s">
        <v>26</v>
      </c>
      <c r="Q5" s="2"/>
      <c r="R5" s="92"/>
      <c r="S5" s="92"/>
      <c r="T5" s="92"/>
      <c r="U5" s="92"/>
      <c r="V5" s="92"/>
      <c r="W5" s="92"/>
      <c r="X5" s="2"/>
    </row>
    <row r="6" spans="1:32" x14ac:dyDescent="0.3">
      <c r="A6" s="42">
        <v>1</v>
      </c>
      <c r="B6" s="43" t="s">
        <v>21</v>
      </c>
      <c r="C6" s="73"/>
      <c r="D6" s="74"/>
      <c r="E6" s="75"/>
      <c r="F6" s="74"/>
      <c r="G6" s="75"/>
      <c r="H6" s="74"/>
      <c r="I6" s="75"/>
      <c r="J6" s="74"/>
      <c r="K6" s="75"/>
      <c r="L6" s="74"/>
      <c r="M6" s="75"/>
      <c r="N6" s="74"/>
      <c r="O6" s="40">
        <f>SUM(C6:N6)</f>
        <v>0</v>
      </c>
      <c r="P6" s="41" t="str">
        <f>IF(O6=K1*12,"OK","NOT YET")</f>
        <v>NOT YET</v>
      </c>
      <c r="R6" s="98"/>
      <c r="S6" s="98"/>
      <c r="T6" s="98"/>
      <c r="U6" s="98"/>
      <c r="V6" s="98"/>
      <c r="W6" s="98"/>
      <c r="X6" s="2"/>
    </row>
    <row r="7" spans="1:32" x14ac:dyDescent="0.3">
      <c r="A7" s="14">
        <v>2</v>
      </c>
      <c r="B7" s="25" t="s">
        <v>22</v>
      </c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35">
        <f>SUM(C7:N7)</f>
        <v>0</v>
      </c>
      <c r="P7" s="41" t="str">
        <f>IF(O7=K1*12,"OK","NOT YET")</f>
        <v>NOT YET</v>
      </c>
      <c r="R7" s="98"/>
      <c r="S7" s="98"/>
      <c r="T7" s="98"/>
      <c r="U7" s="98"/>
      <c r="V7" s="98"/>
      <c r="W7" s="98"/>
      <c r="X7" s="2"/>
    </row>
    <row r="8" spans="1:32" x14ac:dyDescent="0.3">
      <c r="A8" s="15">
        <v>3</v>
      </c>
      <c r="B8" s="26" t="s">
        <v>23</v>
      </c>
      <c r="C8" s="78"/>
      <c r="D8" s="79"/>
      <c r="E8" s="79"/>
      <c r="F8" s="80"/>
      <c r="G8" s="78"/>
      <c r="H8" s="79"/>
      <c r="I8" s="79"/>
      <c r="J8" s="79"/>
      <c r="K8" s="80"/>
      <c r="L8" s="78"/>
      <c r="M8" s="80"/>
      <c r="N8" s="78"/>
      <c r="O8" s="35">
        <f>SUM(C8:N8)</f>
        <v>0</v>
      </c>
      <c r="P8" s="41" t="str">
        <f>IF(O8=K1*12,"OK","NOT YET")</f>
        <v>NOT YET</v>
      </c>
      <c r="R8" s="98"/>
      <c r="S8" s="98"/>
      <c r="T8" s="98"/>
      <c r="U8" s="98"/>
      <c r="V8" s="98"/>
      <c r="W8" s="98"/>
      <c r="X8" s="2"/>
    </row>
    <row r="9" spans="1:32" x14ac:dyDescent="0.3">
      <c r="A9" s="11">
        <v>4</v>
      </c>
      <c r="B9" s="24" t="s">
        <v>24</v>
      </c>
      <c r="C9" s="81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35">
        <f>SUM(C9:N9)</f>
        <v>0</v>
      </c>
      <c r="P9" s="41" t="str">
        <f>IF(O9=K1*12,"OK","NOT YET")</f>
        <v>NOT YET</v>
      </c>
      <c r="R9" s="98"/>
      <c r="S9" s="98"/>
      <c r="T9" s="98"/>
      <c r="U9" s="98"/>
      <c r="V9" s="98"/>
      <c r="W9" s="98"/>
      <c r="X9" s="2"/>
    </row>
    <row r="10" spans="1:32" x14ac:dyDescent="0.3">
      <c r="A10" s="21">
        <v>5</v>
      </c>
      <c r="B10" s="27" t="s">
        <v>25</v>
      </c>
      <c r="C10" s="83"/>
      <c r="D10" s="84"/>
      <c r="E10" s="83"/>
      <c r="F10" s="84"/>
      <c r="G10" s="83"/>
      <c r="H10" s="84"/>
      <c r="I10" s="84"/>
      <c r="J10" s="84"/>
      <c r="K10" s="84"/>
      <c r="L10" s="84"/>
      <c r="M10" s="84"/>
      <c r="N10" s="84"/>
      <c r="O10" s="36">
        <f>SUM(C10:N10)</f>
        <v>0</v>
      </c>
      <c r="P10" s="41" t="str">
        <f>IF(O10=K1*12,"OK","NOT YET")</f>
        <v>NOT YET</v>
      </c>
      <c r="Q10" s="2"/>
      <c r="R10" s="98"/>
      <c r="S10" s="98"/>
      <c r="T10" s="98"/>
      <c r="U10" s="98"/>
      <c r="V10" s="98"/>
      <c r="W10" s="98"/>
      <c r="X10" s="2"/>
      <c r="Y10" s="2"/>
      <c r="Z10" s="2"/>
      <c r="AA10" s="2"/>
      <c r="AB10" s="2"/>
      <c r="AC10" s="2"/>
      <c r="AD10" s="2"/>
      <c r="AE10" s="2"/>
      <c r="AF10" s="2"/>
    </row>
    <row r="11" spans="1:32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R11" s="98"/>
      <c r="S11" s="98"/>
      <c r="T11" s="98"/>
      <c r="U11" s="98"/>
      <c r="V11" s="98"/>
      <c r="W11" s="98"/>
      <c r="X11" s="2"/>
    </row>
    <row r="12" spans="1:32" x14ac:dyDescent="0.3">
      <c r="A12" s="2"/>
      <c r="B12" s="12" t="s">
        <v>8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32"/>
      <c r="P12" s="32"/>
      <c r="R12" s="98"/>
      <c r="S12" s="98"/>
      <c r="T12" s="98"/>
      <c r="U12" s="98"/>
      <c r="V12" s="98"/>
      <c r="W12" s="98"/>
      <c r="X12" s="2"/>
    </row>
    <row r="13" spans="1:32" x14ac:dyDescent="0.3">
      <c r="B13" s="13" t="s">
        <v>9</v>
      </c>
      <c r="C13" s="20">
        <f>SUM(C6+C7+C8+C9+C10+C12)</f>
        <v>0</v>
      </c>
      <c r="D13" s="16">
        <f t="shared" ref="D13:N13" si="0">SUM(D6+D7+D8+D9+D12+D10)</f>
        <v>0</v>
      </c>
      <c r="E13" s="16">
        <f t="shared" si="0"/>
        <v>0</v>
      </c>
      <c r="F13" s="17">
        <f t="shared" si="0"/>
        <v>0</v>
      </c>
      <c r="G13" s="16">
        <f t="shared" si="0"/>
        <v>0</v>
      </c>
      <c r="H13" s="16">
        <f t="shared" si="0"/>
        <v>0</v>
      </c>
      <c r="I13" s="16">
        <f t="shared" si="0"/>
        <v>0</v>
      </c>
      <c r="J13" s="16">
        <f t="shared" si="0"/>
        <v>0</v>
      </c>
      <c r="K13" s="16">
        <f t="shared" si="0"/>
        <v>0</v>
      </c>
      <c r="L13" s="16">
        <f t="shared" si="0"/>
        <v>0</v>
      </c>
      <c r="M13" s="16">
        <f t="shared" si="0"/>
        <v>0</v>
      </c>
      <c r="N13" s="16">
        <f t="shared" si="0"/>
        <v>0</v>
      </c>
      <c r="O13" s="33"/>
      <c r="P13" s="33"/>
      <c r="R13" s="98"/>
      <c r="S13" s="98"/>
      <c r="T13" s="98"/>
      <c r="U13" s="98"/>
      <c r="V13" s="98"/>
      <c r="W13" s="98"/>
      <c r="X13" s="2"/>
    </row>
    <row r="14" spans="1:32" x14ac:dyDescent="0.3">
      <c r="B14" s="8" t="s">
        <v>10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2"/>
      <c r="P14" s="32"/>
      <c r="R14" s="98"/>
      <c r="S14" s="98"/>
      <c r="T14" s="98"/>
      <c r="U14" s="98"/>
      <c r="V14" s="98"/>
      <c r="W14" s="98"/>
      <c r="X14" s="2"/>
    </row>
    <row r="15" spans="1:32" x14ac:dyDescent="0.3"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2"/>
      <c r="P15" s="32"/>
      <c r="R15" s="98"/>
      <c r="S15" s="98"/>
      <c r="T15" s="98"/>
      <c r="U15" s="98"/>
      <c r="V15" s="98"/>
      <c r="W15" s="98"/>
      <c r="X15" s="2"/>
    </row>
    <row r="16" spans="1:32" x14ac:dyDescent="0.3"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32"/>
      <c r="P16" s="32"/>
      <c r="R16" s="98"/>
      <c r="S16" s="98"/>
      <c r="T16" s="98"/>
      <c r="U16" s="98"/>
      <c r="V16" s="98"/>
      <c r="W16" s="98"/>
      <c r="X16" s="2"/>
    </row>
    <row r="17" spans="1:26" x14ac:dyDescent="0.3"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2"/>
      <c r="P17" s="32"/>
      <c r="R17" s="98"/>
      <c r="S17" s="98"/>
      <c r="T17" s="98"/>
      <c r="U17" s="98"/>
      <c r="V17" s="98"/>
      <c r="W17" s="98"/>
      <c r="X17" s="2"/>
    </row>
    <row r="18" spans="1:26" x14ac:dyDescent="0.3">
      <c r="R18" s="98"/>
      <c r="S18" s="98"/>
      <c r="T18" s="98"/>
      <c r="U18" s="98"/>
      <c r="V18" s="98"/>
      <c r="W18" s="98"/>
      <c r="X18" s="2"/>
    </row>
    <row r="19" spans="1:26" x14ac:dyDescent="0.3">
      <c r="E19" s="30"/>
      <c r="F19" s="2"/>
      <c r="R19" s="98"/>
      <c r="S19" s="98"/>
      <c r="T19" s="98"/>
      <c r="U19" s="98"/>
      <c r="V19" s="98"/>
      <c r="W19" s="98"/>
      <c r="X19" s="2"/>
    </row>
    <row r="20" spans="1:26" x14ac:dyDescent="0.3">
      <c r="A20" s="96" t="s">
        <v>35</v>
      </c>
      <c r="B20" s="96"/>
      <c r="C20" s="96"/>
      <c r="D20" s="97"/>
      <c r="E20" s="6" t="s">
        <v>18</v>
      </c>
      <c r="F20" s="7">
        <f>SUM(C30+D30+E30+F30+G30+H30+I30+J30+K30+L30+M30+N30-N31-N32-N33-N34-M34-M33-M32-M31-L34-L33-L32-L31-K31-K32-K33-K34-J34-J33-J32-J31-I31-I32-I33-I34-H34-H33-H32-H31-G31-G32-G33-G34-F34-F33-F32-F31-E34-E33-E32-E31-D34-D33-D32-D31-C34-C33-C32-C31)</f>
        <v>0</v>
      </c>
      <c r="R20" s="98"/>
      <c r="S20" s="98"/>
      <c r="T20" s="98"/>
      <c r="U20" s="98"/>
      <c r="V20" s="98"/>
      <c r="W20" s="98"/>
      <c r="X20" s="2"/>
    </row>
    <row r="21" spans="1:26" x14ac:dyDescent="0.3">
      <c r="B21" s="2"/>
      <c r="C21" s="2"/>
      <c r="R21" s="98"/>
      <c r="S21" s="98"/>
      <c r="T21" s="98"/>
      <c r="U21" s="98"/>
      <c r="V21" s="98"/>
      <c r="W21" s="98"/>
      <c r="X21" s="2"/>
    </row>
    <row r="22" spans="1:26" x14ac:dyDescent="0.3">
      <c r="A22" s="4" t="s">
        <v>1</v>
      </c>
      <c r="B22" s="5" t="s">
        <v>0</v>
      </c>
      <c r="C22" s="3" t="s">
        <v>11</v>
      </c>
      <c r="D22" s="3" t="s">
        <v>12</v>
      </c>
      <c r="E22" s="3" t="s">
        <v>13</v>
      </c>
      <c r="F22" s="3" t="s">
        <v>14</v>
      </c>
      <c r="G22" s="3" t="s">
        <v>15</v>
      </c>
      <c r="H22" s="3" t="s">
        <v>16</v>
      </c>
      <c r="I22" s="3" t="s">
        <v>2</v>
      </c>
      <c r="J22" s="3" t="s">
        <v>3</v>
      </c>
      <c r="K22" s="3" t="s">
        <v>4</v>
      </c>
      <c r="L22" s="3" t="s">
        <v>5</v>
      </c>
      <c r="M22" s="3" t="s">
        <v>6</v>
      </c>
      <c r="N22" s="3" t="s">
        <v>7</v>
      </c>
      <c r="O22" s="34"/>
      <c r="P22" s="44" t="s">
        <v>26</v>
      </c>
      <c r="Q22" s="2"/>
      <c r="R22" s="98"/>
      <c r="S22" s="98"/>
      <c r="T22" s="98"/>
      <c r="U22" s="98"/>
      <c r="V22" s="98"/>
      <c r="W22" s="98"/>
      <c r="X22" s="2"/>
      <c r="Y22" s="2"/>
      <c r="Z22" s="2"/>
    </row>
    <row r="23" spans="1:26" x14ac:dyDescent="0.3">
      <c r="A23" s="42">
        <v>1</v>
      </c>
      <c r="B23" s="43" t="s">
        <v>21</v>
      </c>
      <c r="C23" s="91"/>
      <c r="D23" s="91"/>
      <c r="E23" s="91"/>
      <c r="F23" s="91"/>
      <c r="G23" s="91"/>
      <c r="H23" s="74"/>
      <c r="I23" s="91"/>
      <c r="J23" s="91"/>
      <c r="K23" s="91"/>
      <c r="L23" s="91"/>
      <c r="M23" s="91"/>
      <c r="N23" s="91"/>
      <c r="O23" s="35">
        <f>SUM(C23:N23)</f>
        <v>0</v>
      </c>
      <c r="P23" s="41" t="str">
        <f>IF(O23=K1*12,"OK","NOT YET")</f>
        <v>NOT YET</v>
      </c>
      <c r="Q23" s="2"/>
      <c r="R23" s="98"/>
      <c r="S23" s="98"/>
      <c r="T23" s="98"/>
      <c r="U23" s="98"/>
      <c r="V23" s="98"/>
      <c r="W23" s="98"/>
      <c r="X23" s="2"/>
    </row>
    <row r="24" spans="1:26" x14ac:dyDescent="0.3">
      <c r="A24" s="14">
        <v>2</v>
      </c>
      <c r="B24" s="25" t="s">
        <v>22</v>
      </c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35">
        <f>SUM(C24:N24)</f>
        <v>0</v>
      </c>
      <c r="P24" s="41" t="str">
        <f>IF(O24=K1*12,"OK","NOT YET")</f>
        <v>NOT YET</v>
      </c>
      <c r="R24" s="2"/>
      <c r="S24" s="2"/>
      <c r="T24" s="2"/>
      <c r="U24" s="2"/>
      <c r="V24" s="2"/>
      <c r="W24" s="2"/>
      <c r="X24" s="2"/>
    </row>
    <row r="25" spans="1:26" x14ac:dyDescent="0.3">
      <c r="A25" s="15">
        <v>3</v>
      </c>
      <c r="B25" s="26" t="s">
        <v>23</v>
      </c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35">
        <f>SUM(C25:N25)</f>
        <v>0</v>
      </c>
      <c r="P25" s="41" t="str">
        <f>IF(O25=K1*12,"OK","NOT YET")</f>
        <v>NOT YET</v>
      </c>
      <c r="R25" s="2"/>
      <c r="S25" s="2"/>
      <c r="T25" s="2"/>
      <c r="U25" s="2"/>
      <c r="V25" s="2"/>
      <c r="W25" s="2"/>
      <c r="X25" s="2"/>
    </row>
    <row r="26" spans="1:26" x14ac:dyDescent="0.3">
      <c r="A26" s="11">
        <v>4</v>
      </c>
      <c r="B26" s="24" t="s">
        <v>24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35">
        <f>SUM(C26:N26)</f>
        <v>0</v>
      </c>
      <c r="P26" s="41" t="str">
        <f>IF(O26=K1*12,"OK","NOT YET")</f>
        <v>NOT YET</v>
      </c>
    </row>
    <row r="27" spans="1:26" x14ac:dyDescent="0.3">
      <c r="A27" s="21">
        <v>5</v>
      </c>
      <c r="B27" s="27" t="s">
        <v>25</v>
      </c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3"/>
      <c r="O27" s="36">
        <f>SUM(C27:N27)</f>
        <v>0</v>
      </c>
      <c r="P27" s="41" t="str">
        <f>IF(O27=K1*12,"OK","NOT YET")</f>
        <v>NOT YET</v>
      </c>
    </row>
    <row r="28" spans="1:26" x14ac:dyDescent="0.3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26" hidden="1" x14ac:dyDescent="0.3">
      <c r="A29" s="2"/>
      <c r="B29" s="12" t="s">
        <v>8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32"/>
      <c r="P29" s="32"/>
    </row>
    <row r="30" spans="1:26" x14ac:dyDescent="0.3">
      <c r="B30" s="13" t="s">
        <v>9</v>
      </c>
      <c r="C30" s="52">
        <f>SUM(C23+C24+C25+C26+C27)</f>
        <v>0</v>
      </c>
      <c r="D30" s="16">
        <f t="shared" ref="D30:N30" si="1">SUM(D23+D24+D25+D26+D29+D27)</f>
        <v>0</v>
      </c>
      <c r="E30" s="16">
        <f t="shared" si="1"/>
        <v>0</v>
      </c>
      <c r="F30" s="17">
        <f t="shared" si="1"/>
        <v>0</v>
      </c>
      <c r="G30" s="16">
        <f t="shared" si="1"/>
        <v>0</v>
      </c>
      <c r="H30" s="16">
        <f t="shared" si="1"/>
        <v>0</v>
      </c>
      <c r="I30" s="16">
        <f t="shared" si="1"/>
        <v>0</v>
      </c>
      <c r="J30" s="16">
        <f t="shared" si="1"/>
        <v>0</v>
      </c>
      <c r="K30" s="16">
        <f t="shared" si="1"/>
        <v>0</v>
      </c>
      <c r="L30" s="16">
        <f t="shared" si="1"/>
        <v>0</v>
      </c>
      <c r="M30" s="16">
        <f t="shared" si="1"/>
        <v>0</v>
      </c>
      <c r="N30" s="16">
        <f t="shared" si="1"/>
        <v>0</v>
      </c>
      <c r="O30" s="33"/>
      <c r="P30" s="33"/>
    </row>
    <row r="31" spans="1:26" x14ac:dyDescent="0.3">
      <c r="B31" s="8" t="s">
        <v>10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32"/>
      <c r="P31" s="32"/>
    </row>
    <row r="32" spans="1:26" x14ac:dyDescent="0.3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2"/>
      <c r="P32" s="32"/>
    </row>
    <row r="33" spans="1:16" x14ac:dyDescent="0.3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32"/>
      <c r="P33" s="32"/>
    </row>
    <row r="34" spans="1:16" x14ac:dyDescent="0.3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32"/>
      <c r="P34" s="32"/>
    </row>
    <row r="35" spans="1:16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9"/>
    </row>
    <row r="36" spans="1:16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9"/>
    </row>
    <row r="37" spans="1:16" x14ac:dyDescent="0.3">
      <c r="A37" s="96" t="s">
        <v>36</v>
      </c>
      <c r="B37" s="96"/>
      <c r="C37" s="96"/>
      <c r="D37" s="97"/>
      <c r="E37" s="6" t="s">
        <v>18</v>
      </c>
      <c r="F37" s="7">
        <f>SUM(C47+D47+E47+F47+G47+H47+I47+J47+K47+L47+M47+N47-N48-N49-N50-N51-M51-M50-M49-M48-L51-L50-L49-L48-K48-K49-K50-K51-J51-J50-J49-J48-I48-I49-I50-I51-H51-H50-H49-H48-G48-G49-G50-G51-F51-F50-F49-F48-E51-E50-E49-E48-D51-D50-D49-D48-C51-C50-C49-C48)</f>
        <v>0</v>
      </c>
    </row>
    <row r="38" spans="1:16" x14ac:dyDescent="0.3">
      <c r="B38" s="2"/>
      <c r="C38" s="2"/>
    </row>
    <row r="39" spans="1:16" x14ac:dyDescent="0.3">
      <c r="A39" s="4" t="s">
        <v>1</v>
      </c>
      <c r="B39" s="5" t="s">
        <v>0</v>
      </c>
      <c r="C39" s="3" t="s">
        <v>11</v>
      </c>
      <c r="D39" s="3" t="s">
        <v>12</v>
      </c>
      <c r="E39" s="3" t="s">
        <v>13</v>
      </c>
      <c r="F39" s="3" t="s">
        <v>14</v>
      </c>
      <c r="G39" s="3" t="s">
        <v>15</v>
      </c>
      <c r="H39" s="3" t="s">
        <v>16</v>
      </c>
      <c r="I39" s="3" t="s">
        <v>2</v>
      </c>
      <c r="J39" s="3" t="s">
        <v>3</v>
      </c>
      <c r="K39" s="3" t="s">
        <v>4</v>
      </c>
      <c r="L39" s="3" t="s">
        <v>5</v>
      </c>
      <c r="M39" s="3" t="s">
        <v>6</v>
      </c>
      <c r="N39" s="3" t="s">
        <v>7</v>
      </c>
      <c r="O39" s="34"/>
      <c r="P39" s="44" t="s">
        <v>26</v>
      </c>
    </row>
    <row r="40" spans="1:16" x14ac:dyDescent="0.3">
      <c r="A40" s="42">
        <v>1</v>
      </c>
      <c r="B40" s="43" t="s">
        <v>21</v>
      </c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35">
        <f>SUM(C40:N40)</f>
        <v>0</v>
      </c>
      <c r="P40" s="41" t="str">
        <f>IF(O40=K1*12,"OK","NOT YET")</f>
        <v>NOT YET</v>
      </c>
    </row>
    <row r="41" spans="1:16" x14ac:dyDescent="0.3">
      <c r="A41" s="14">
        <v>2</v>
      </c>
      <c r="B41" s="25" t="s">
        <v>22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35">
        <f>SUM(C41:N41)</f>
        <v>0</v>
      </c>
      <c r="P41" s="41" t="str">
        <f>IF(O41=K1*12,"OK","NOT YET")</f>
        <v>NOT YET</v>
      </c>
    </row>
    <row r="42" spans="1:16" x14ac:dyDescent="0.3">
      <c r="A42" s="15">
        <v>3</v>
      </c>
      <c r="B42" s="26" t="s">
        <v>23</v>
      </c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35">
        <f>SUM(C42:N42)</f>
        <v>0</v>
      </c>
      <c r="P42" s="41" t="str">
        <f>IF(O42=K1*12,"OK","NOT YET")</f>
        <v>NOT YET</v>
      </c>
    </row>
    <row r="43" spans="1:16" x14ac:dyDescent="0.3">
      <c r="A43" s="11">
        <v>4</v>
      </c>
      <c r="B43" s="24" t="s">
        <v>24</v>
      </c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35">
        <f>SUM(C43:N43)</f>
        <v>0</v>
      </c>
      <c r="P43" s="41" t="str">
        <f>IF(O43=K1*12,"OK","NOT YET")</f>
        <v>NOT YET</v>
      </c>
    </row>
    <row r="44" spans="1:16" x14ac:dyDescent="0.3">
      <c r="A44" s="21">
        <v>5</v>
      </c>
      <c r="B44" s="27" t="s">
        <v>25</v>
      </c>
      <c r="C44" s="83"/>
      <c r="D44" s="84"/>
      <c r="E44" s="83"/>
      <c r="F44" s="84"/>
      <c r="G44" s="83"/>
      <c r="H44" s="84"/>
      <c r="I44" s="84"/>
      <c r="J44" s="84"/>
      <c r="K44" s="84"/>
      <c r="L44" s="84"/>
      <c r="M44" s="84"/>
      <c r="N44" s="84"/>
      <c r="O44" s="36">
        <f>SUM(C44:N44)</f>
        <v>0</v>
      </c>
      <c r="P44" s="41" t="str">
        <f>IF(O44=K1*12,"OK","NOT YET")</f>
        <v>NOT YET</v>
      </c>
    </row>
    <row r="45" spans="1:1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6" x14ac:dyDescent="0.3">
      <c r="A46" s="2"/>
      <c r="B46" s="12" t="s">
        <v>8</v>
      </c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32"/>
      <c r="P46" s="32"/>
    </row>
    <row r="47" spans="1:16" x14ac:dyDescent="0.3">
      <c r="B47" s="13" t="s">
        <v>9</v>
      </c>
      <c r="C47" s="20">
        <f>SUM(C40+C41+C42+C43+C44+C46)</f>
        <v>0</v>
      </c>
      <c r="D47" s="16">
        <f t="shared" ref="D47:N47" si="2">SUM(D40+D41+D42+D43+D46+D44)</f>
        <v>0</v>
      </c>
      <c r="E47" s="16">
        <f t="shared" si="2"/>
        <v>0</v>
      </c>
      <c r="F47" s="17">
        <f t="shared" si="2"/>
        <v>0</v>
      </c>
      <c r="G47" s="16">
        <f t="shared" si="2"/>
        <v>0</v>
      </c>
      <c r="H47" s="16">
        <f t="shared" si="2"/>
        <v>0</v>
      </c>
      <c r="I47" s="16">
        <f t="shared" si="2"/>
        <v>0</v>
      </c>
      <c r="J47" s="16">
        <f t="shared" si="2"/>
        <v>0</v>
      </c>
      <c r="K47" s="16">
        <f t="shared" si="2"/>
        <v>0</v>
      </c>
      <c r="L47" s="16">
        <f t="shared" si="2"/>
        <v>0</v>
      </c>
      <c r="M47" s="16">
        <f t="shared" si="2"/>
        <v>0</v>
      </c>
      <c r="N47" s="16">
        <f t="shared" si="2"/>
        <v>0</v>
      </c>
      <c r="O47" s="33"/>
      <c r="P47" s="33"/>
    </row>
    <row r="48" spans="1:16" x14ac:dyDescent="0.3">
      <c r="B48" s="8" t="s">
        <v>10</v>
      </c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32"/>
      <c r="P48" s="32"/>
    </row>
    <row r="49" spans="1:16" x14ac:dyDescent="0.3"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32"/>
      <c r="P49" s="32"/>
    </row>
    <row r="50" spans="1:16" x14ac:dyDescent="0.3"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2"/>
      <c r="P50" s="32"/>
    </row>
    <row r="51" spans="1:16" x14ac:dyDescent="0.3"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32"/>
      <c r="P51" s="32"/>
    </row>
    <row r="52" spans="1:1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39"/>
    </row>
    <row r="53" spans="1:16" x14ac:dyDescent="0.3">
      <c r="A53" s="96" t="s">
        <v>37</v>
      </c>
      <c r="B53" s="96"/>
      <c r="C53" s="96"/>
      <c r="D53" s="97"/>
      <c r="E53" s="6" t="s">
        <v>18</v>
      </c>
      <c r="F53" s="7">
        <f>SUM(C63+D63+E63+F63+G63+H63+I63+J63+K63+L63+M63+N63-N64-N65-N66-N67-M67-M66-M65-M64-L67-L66-L65-L64-K64-K65-K66-K67-J67-J66-J65-J64-I64-I65-I66-I67-H67-H66-H65-H64-G64-G65-G66-G67-F67-F66-F65-F64-E67-E66-E65-E64-D67-D66-D65-D64-C67-C66-C65-C64)</f>
        <v>0</v>
      </c>
    </row>
    <row r="54" spans="1:16" x14ac:dyDescent="0.3">
      <c r="B54" s="2"/>
      <c r="C54" s="2"/>
    </row>
    <row r="55" spans="1:16" x14ac:dyDescent="0.3">
      <c r="A55" s="4" t="s">
        <v>1</v>
      </c>
      <c r="B55" s="5" t="s">
        <v>0</v>
      </c>
      <c r="C55" s="3" t="s">
        <v>11</v>
      </c>
      <c r="D55" s="3" t="s">
        <v>12</v>
      </c>
      <c r="E55" s="3" t="s">
        <v>13</v>
      </c>
      <c r="F55" s="3" t="s">
        <v>14</v>
      </c>
      <c r="G55" s="3" t="s">
        <v>15</v>
      </c>
      <c r="H55" s="3" t="s">
        <v>16</v>
      </c>
      <c r="I55" s="3" t="s">
        <v>2</v>
      </c>
      <c r="J55" s="3" t="s">
        <v>3</v>
      </c>
      <c r="K55" s="3" t="s">
        <v>4</v>
      </c>
      <c r="L55" s="3" t="s">
        <v>5</v>
      </c>
      <c r="M55" s="3" t="s">
        <v>6</v>
      </c>
      <c r="N55" s="3" t="s">
        <v>7</v>
      </c>
      <c r="O55" s="34"/>
      <c r="P55" s="44" t="s">
        <v>26</v>
      </c>
    </row>
    <row r="56" spans="1:16" x14ac:dyDescent="0.3">
      <c r="A56" s="42">
        <v>1</v>
      </c>
      <c r="B56" s="43" t="s">
        <v>21</v>
      </c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35">
        <f>SUM(C56:N56)</f>
        <v>0</v>
      </c>
      <c r="P56" s="41" t="str">
        <f>IF(O56=K1*12,"OK","NOT YET")</f>
        <v>NOT YET</v>
      </c>
    </row>
    <row r="57" spans="1:16" x14ac:dyDescent="0.3">
      <c r="A57" s="14">
        <v>2</v>
      </c>
      <c r="B57" s="25" t="s">
        <v>22</v>
      </c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35">
        <f>SUM(C57:N57)</f>
        <v>0</v>
      </c>
      <c r="P57" s="41" t="str">
        <f>IF(O57=K1*12,"OK","NOT YET")</f>
        <v>NOT YET</v>
      </c>
    </row>
    <row r="58" spans="1:16" x14ac:dyDescent="0.3">
      <c r="A58" s="15">
        <v>3</v>
      </c>
      <c r="B58" s="26" t="s">
        <v>23</v>
      </c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35">
        <f>SUM(C58:N58)</f>
        <v>0</v>
      </c>
      <c r="P58" s="41" t="str">
        <f>IF(O58=K1*12,"OK","NOT YET")</f>
        <v>NOT YET</v>
      </c>
    </row>
    <row r="59" spans="1:16" x14ac:dyDescent="0.3">
      <c r="A59" s="11">
        <v>4</v>
      </c>
      <c r="B59" s="24" t="s">
        <v>24</v>
      </c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35">
        <f>SUM(C59:N59)</f>
        <v>0</v>
      </c>
      <c r="P59" s="41" t="str">
        <f>IF(O59=K1*12,"OK","NOT YET")</f>
        <v>NOT YET</v>
      </c>
    </row>
    <row r="60" spans="1:16" x14ac:dyDescent="0.3">
      <c r="A60" s="21">
        <v>5</v>
      </c>
      <c r="B60" s="27" t="s">
        <v>25</v>
      </c>
      <c r="C60" s="83"/>
      <c r="D60" s="84"/>
      <c r="E60" s="83"/>
      <c r="F60" s="84"/>
      <c r="G60" s="83"/>
      <c r="H60" s="84"/>
      <c r="I60" s="84"/>
      <c r="J60" s="84"/>
      <c r="K60" s="84"/>
      <c r="L60" s="84"/>
      <c r="M60" s="84"/>
      <c r="N60" s="84"/>
      <c r="O60" s="36">
        <f>SUM(C60:N60)</f>
        <v>0</v>
      </c>
      <c r="P60" s="41" t="str">
        <f>IF(O60=K1*12,"OK","NOT YET")</f>
        <v>NOT YET</v>
      </c>
    </row>
    <row r="61" spans="1:1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6" x14ac:dyDescent="0.3">
      <c r="A62" s="2"/>
      <c r="B62" s="12" t="s">
        <v>8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32"/>
      <c r="P62" s="32"/>
    </row>
    <row r="63" spans="1:16" x14ac:dyDescent="0.3">
      <c r="B63" s="13" t="s">
        <v>9</v>
      </c>
      <c r="C63" s="20">
        <f>SUM(C56+C57+C58+C59+C60+C62)</f>
        <v>0</v>
      </c>
      <c r="D63" s="16">
        <f t="shared" ref="D63:N63" si="3">SUM(D56+D57+D58+D59+D62+D60)</f>
        <v>0</v>
      </c>
      <c r="E63" s="16">
        <f t="shared" si="3"/>
        <v>0</v>
      </c>
      <c r="F63" s="17">
        <f t="shared" si="3"/>
        <v>0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0</v>
      </c>
      <c r="L63" s="16">
        <f t="shared" si="3"/>
        <v>0</v>
      </c>
      <c r="M63" s="16">
        <f t="shared" si="3"/>
        <v>0</v>
      </c>
      <c r="N63" s="16">
        <f t="shared" si="3"/>
        <v>0</v>
      </c>
      <c r="O63" s="33"/>
      <c r="P63" s="33"/>
    </row>
    <row r="64" spans="1:16" x14ac:dyDescent="0.3">
      <c r="B64" s="8" t="s">
        <v>10</v>
      </c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32"/>
      <c r="P64" s="32"/>
    </row>
    <row r="65" spans="1:16" x14ac:dyDescent="0.3"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32"/>
      <c r="P65" s="32"/>
    </row>
    <row r="66" spans="1:16" x14ac:dyDescent="0.3"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32"/>
      <c r="P66" s="32"/>
    </row>
    <row r="67" spans="1:16" x14ac:dyDescent="0.3"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32"/>
      <c r="P67" s="32"/>
    </row>
    <row r="68" spans="1:16" x14ac:dyDescent="0.3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39"/>
    </row>
    <row r="70" spans="1:16" x14ac:dyDescent="0.3">
      <c r="A70" s="96" t="s">
        <v>41</v>
      </c>
      <c r="B70" s="96"/>
      <c r="C70" s="96"/>
      <c r="D70" s="97"/>
      <c r="E70" s="6" t="s">
        <v>18</v>
      </c>
      <c r="F70" s="7">
        <f>SUM(C80+D80+E80+F80+G80+H80+I80+J80+K80+L80+M80+N80-N81-N82-N83-N84-M84-M83-M82-M81-L84-L83-L82-L81-K81-K82-K83-K84-J84-J83-J82-J81-I81-I82-I83-I84-H84-H83-H82-H81-G81-G82-G83-G84-F84-F83-F82-F81-E84-E83-E82-E81-D84-D83-D82-D81-C84-C83-C82-C81)</f>
        <v>0</v>
      </c>
    </row>
    <row r="71" spans="1:16" x14ac:dyDescent="0.3">
      <c r="B71" s="2"/>
      <c r="C71" s="2"/>
    </row>
    <row r="72" spans="1:16" x14ac:dyDescent="0.3">
      <c r="A72" s="4" t="s">
        <v>1</v>
      </c>
      <c r="B72" s="5" t="s">
        <v>0</v>
      </c>
      <c r="C72" s="3" t="s">
        <v>11</v>
      </c>
      <c r="D72" s="3" t="s">
        <v>12</v>
      </c>
      <c r="E72" s="3" t="s">
        <v>13</v>
      </c>
      <c r="F72" s="3" t="s">
        <v>14</v>
      </c>
      <c r="G72" s="3" t="s">
        <v>15</v>
      </c>
      <c r="H72" s="3" t="s">
        <v>16</v>
      </c>
      <c r="I72" s="3" t="s">
        <v>2</v>
      </c>
      <c r="J72" s="3" t="s">
        <v>3</v>
      </c>
      <c r="K72" s="3" t="s">
        <v>4</v>
      </c>
      <c r="L72" s="3" t="s">
        <v>5</v>
      </c>
      <c r="M72" s="3" t="s">
        <v>6</v>
      </c>
      <c r="N72" s="3" t="s">
        <v>7</v>
      </c>
      <c r="O72" s="34"/>
      <c r="P72" s="44" t="s">
        <v>26</v>
      </c>
    </row>
    <row r="73" spans="1:16" x14ac:dyDescent="0.3">
      <c r="A73" s="42">
        <v>1</v>
      </c>
      <c r="B73" s="43" t="s">
        <v>21</v>
      </c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35">
        <f>SUM(C73:N73)</f>
        <v>0</v>
      </c>
      <c r="P73" s="41" t="str">
        <f>IF(O73=K18*12,"OK","NOT YET")</f>
        <v>OK</v>
      </c>
    </row>
    <row r="74" spans="1:16" x14ac:dyDescent="0.3">
      <c r="A74" s="14">
        <v>2</v>
      </c>
      <c r="B74" s="25" t="s">
        <v>22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35">
        <f>SUM(C74:N74)</f>
        <v>0</v>
      </c>
      <c r="P74" s="41" t="str">
        <f>IF(O74=K18*12,"OK","NOT YET")</f>
        <v>OK</v>
      </c>
    </row>
    <row r="75" spans="1:16" x14ac:dyDescent="0.3">
      <c r="A75" s="15">
        <v>3</v>
      </c>
      <c r="B75" s="26" t="s">
        <v>23</v>
      </c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35">
        <f>SUM(C75:N75)</f>
        <v>0</v>
      </c>
      <c r="P75" s="41" t="str">
        <f>IF(O75=K18*12,"OK","NOT YET")</f>
        <v>OK</v>
      </c>
    </row>
    <row r="76" spans="1:16" x14ac:dyDescent="0.3">
      <c r="A76" s="11">
        <v>4</v>
      </c>
      <c r="B76" s="24" t="s">
        <v>24</v>
      </c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35">
        <f>SUM(C76:N76)</f>
        <v>0</v>
      </c>
      <c r="P76" s="41" t="str">
        <f>IF(O76=K18*12,"OK","NOT YET")</f>
        <v>OK</v>
      </c>
    </row>
    <row r="77" spans="1:16" x14ac:dyDescent="0.3">
      <c r="A77" s="21">
        <v>5</v>
      </c>
      <c r="B77" s="27" t="s">
        <v>25</v>
      </c>
      <c r="C77" s="89"/>
      <c r="D77" s="90"/>
      <c r="E77" s="89"/>
      <c r="F77" s="90"/>
      <c r="G77" s="89"/>
      <c r="H77" s="90"/>
      <c r="I77" s="90"/>
      <c r="J77" s="90"/>
      <c r="K77" s="90"/>
      <c r="L77" s="90"/>
      <c r="M77" s="90"/>
      <c r="N77" s="90"/>
      <c r="O77" s="36">
        <f>SUM(C77:N77)</f>
        <v>0</v>
      </c>
      <c r="P77" s="41" t="str">
        <f>IF(O77=K18*12,"OK","NOT YET")</f>
        <v>OK</v>
      </c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6" x14ac:dyDescent="0.3">
      <c r="A79" s="2"/>
      <c r="B79" s="12" t="s">
        <v>8</v>
      </c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32"/>
      <c r="P79" s="32"/>
    </row>
    <row r="80" spans="1:16" x14ac:dyDescent="0.3">
      <c r="B80" s="13" t="s">
        <v>9</v>
      </c>
      <c r="C80" s="20">
        <f>SUM(C73+C74+C75+C76+C77+C79)</f>
        <v>0</v>
      </c>
      <c r="D80" s="16">
        <f t="shared" ref="D80:N80" si="4">SUM(D73+D74+D75+D76+D79+D77)</f>
        <v>0</v>
      </c>
      <c r="E80" s="16">
        <f t="shared" si="4"/>
        <v>0</v>
      </c>
      <c r="F80" s="17">
        <f t="shared" si="4"/>
        <v>0</v>
      </c>
      <c r="G80" s="16">
        <f t="shared" si="4"/>
        <v>0</v>
      </c>
      <c r="H80" s="16">
        <f t="shared" si="4"/>
        <v>0</v>
      </c>
      <c r="I80" s="16">
        <f t="shared" si="4"/>
        <v>0</v>
      </c>
      <c r="J80" s="16">
        <f t="shared" si="4"/>
        <v>0</v>
      </c>
      <c r="K80" s="16">
        <f t="shared" si="4"/>
        <v>0</v>
      </c>
      <c r="L80" s="16">
        <f t="shared" si="4"/>
        <v>0</v>
      </c>
      <c r="M80" s="16">
        <f t="shared" si="4"/>
        <v>0</v>
      </c>
      <c r="N80" s="16">
        <f t="shared" si="4"/>
        <v>0</v>
      </c>
      <c r="O80" s="33"/>
      <c r="P80" s="33"/>
    </row>
    <row r="81" spans="2:16" x14ac:dyDescent="0.3">
      <c r="B81" s="8" t="s">
        <v>10</v>
      </c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32"/>
      <c r="P81" s="32"/>
    </row>
    <row r="82" spans="2:16" x14ac:dyDescent="0.3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32"/>
      <c r="P82" s="32"/>
    </row>
    <row r="83" spans="2:16" x14ac:dyDescent="0.3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2"/>
      <c r="P83" s="32"/>
    </row>
    <row r="84" spans="2:16" x14ac:dyDescent="0.3"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32"/>
      <c r="P84" s="32"/>
    </row>
  </sheetData>
  <sheetProtection algorithmName="SHA-512" hashValue="rsiPRNLZO0t5XMbBkmwZQsDhTGUSBssjWMW/oxB6Pf6y1PetyL+layR5uDKBRRNZXFsOoPUVWoRRlCDHOa7Y3g==" saltValue="+2eU/DnggqbK4G5zmcJ8ow==" spinCount="100000" sheet="1" objects="1" scenarios="1"/>
  <mergeCells count="64">
    <mergeCell ref="A70:D70"/>
    <mergeCell ref="A37:D37"/>
    <mergeCell ref="A53:D53"/>
    <mergeCell ref="R22:S22"/>
    <mergeCell ref="T22:U22"/>
    <mergeCell ref="V22:W22"/>
    <mergeCell ref="R23:S23"/>
    <mergeCell ref="T23:U23"/>
    <mergeCell ref="V23:W23"/>
    <mergeCell ref="A20:D20"/>
    <mergeCell ref="R20:S20"/>
    <mergeCell ref="T20:U20"/>
    <mergeCell ref="V20:W20"/>
    <mergeCell ref="R21:S21"/>
    <mergeCell ref="T21:U21"/>
    <mergeCell ref="V21:W21"/>
    <mergeCell ref="R18:S18"/>
    <mergeCell ref="T18:U18"/>
    <mergeCell ref="V18:W18"/>
    <mergeCell ref="R19:S19"/>
    <mergeCell ref="T19:U19"/>
    <mergeCell ref="V19:W19"/>
    <mergeCell ref="R16:S16"/>
    <mergeCell ref="T16:U16"/>
    <mergeCell ref="V16:W16"/>
    <mergeCell ref="R17:S17"/>
    <mergeCell ref="T17:U17"/>
    <mergeCell ref="V17:W17"/>
    <mergeCell ref="R14:S14"/>
    <mergeCell ref="T14:U14"/>
    <mergeCell ref="V14:W14"/>
    <mergeCell ref="R15:S15"/>
    <mergeCell ref="T15:U15"/>
    <mergeCell ref="V15:W15"/>
    <mergeCell ref="R12:S12"/>
    <mergeCell ref="T12:U12"/>
    <mergeCell ref="V12:W12"/>
    <mergeCell ref="R13:S13"/>
    <mergeCell ref="T13:U13"/>
    <mergeCell ref="V13:W13"/>
    <mergeCell ref="R10:S10"/>
    <mergeCell ref="T10:U10"/>
    <mergeCell ref="V10:W10"/>
    <mergeCell ref="R11:S11"/>
    <mergeCell ref="T11:U11"/>
    <mergeCell ref="V11:W11"/>
    <mergeCell ref="R8:S8"/>
    <mergeCell ref="T8:U8"/>
    <mergeCell ref="V8:W8"/>
    <mergeCell ref="R9:S9"/>
    <mergeCell ref="T9:U9"/>
    <mergeCell ref="V9:W9"/>
    <mergeCell ref="R6:S6"/>
    <mergeCell ref="T6:U6"/>
    <mergeCell ref="V6:W6"/>
    <mergeCell ref="R7:S7"/>
    <mergeCell ref="T7:U7"/>
    <mergeCell ref="V7:W7"/>
    <mergeCell ref="V5:W5"/>
    <mergeCell ref="A1:D1"/>
    <mergeCell ref="J2:K2"/>
    <mergeCell ref="A3:D3"/>
    <mergeCell ref="R5:S5"/>
    <mergeCell ref="T5:U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36"/>
  <sheetViews>
    <sheetView workbookViewId="0"/>
  </sheetViews>
  <sheetFormatPr defaultColWidth="9.109375" defaultRowHeight="14.4" x14ac:dyDescent="0.3"/>
  <cols>
    <col min="1" max="1" width="9.109375" style="18"/>
    <col min="2" max="2" width="11.33203125" style="18" bestFit="1" customWidth="1"/>
    <col min="3" max="3" width="10.88671875" style="18" customWidth="1"/>
    <col min="4" max="4" width="10.5546875" style="18" customWidth="1"/>
    <col min="5" max="5" width="10.109375" style="18" customWidth="1"/>
    <col min="6" max="6" width="9.6640625" style="18" customWidth="1"/>
    <col min="7" max="7" width="9.5546875" style="18" customWidth="1"/>
    <col min="8" max="8" width="12.109375" style="18" customWidth="1"/>
    <col min="9" max="9" width="11" style="18" customWidth="1"/>
    <col min="10" max="10" width="10.6640625" style="18" customWidth="1"/>
    <col min="11" max="11" width="11.88671875" style="18" customWidth="1"/>
    <col min="12" max="12" width="10.109375" style="18" customWidth="1"/>
    <col min="13" max="13" width="11.109375" style="18" customWidth="1"/>
    <col min="14" max="14" width="12" style="18" customWidth="1"/>
    <col min="15" max="17" width="9.109375" style="18"/>
    <col min="18" max="18" width="11.109375" style="18" bestFit="1" customWidth="1"/>
    <col min="19" max="16384" width="9.109375" style="18"/>
  </cols>
  <sheetData>
    <row r="1" spans="1:18" x14ac:dyDescent="0.3">
      <c r="A1" s="19" t="s">
        <v>0</v>
      </c>
      <c r="B1" s="103" t="s">
        <v>21</v>
      </c>
      <c r="C1" s="104"/>
      <c r="D1" s="105"/>
      <c r="F1" s="101" t="s">
        <v>20</v>
      </c>
      <c r="G1" s="102"/>
      <c r="H1" s="50">
        <f>SUM(R7+R14+R21+R28+R35)</f>
        <v>0</v>
      </c>
    </row>
    <row r="2" spans="1:18" x14ac:dyDescent="0.3">
      <c r="A2" s="19" t="s">
        <v>19</v>
      </c>
      <c r="B2" s="106">
        <v>1</v>
      </c>
      <c r="C2" s="107"/>
      <c r="D2" s="108"/>
    </row>
    <row r="3" spans="1:18" x14ac:dyDescent="0.3">
      <c r="J3" s="53"/>
    </row>
    <row r="4" spans="1:18" x14ac:dyDescent="0.3">
      <c r="B4" s="99" t="s">
        <v>30</v>
      </c>
      <c r="C4" s="100"/>
    </row>
    <row r="6" spans="1:18" x14ac:dyDescent="0.3">
      <c r="B6" s="48"/>
      <c r="C6" s="46" t="s">
        <v>11</v>
      </c>
      <c r="D6" s="46" t="s">
        <v>12</v>
      </c>
      <c r="E6" s="46" t="s">
        <v>13</v>
      </c>
      <c r="F6" s="46" t="s">
        <v>14</v>
      </c>
      <c r="G6" s="46" t="s">
        <v>15</v>
      </c>
      <c r="H6" s="46" t="s">
        <v>16</v>
      </c>
      <c r="I6" s="46" t="s">
        <v>2</v>
      </c>
      <c r="J6" s="46" t="s">
        <v>3</v>
      </c>
      <c r="K6" s="46" t="s">
        <v>4</v>
      </c>
      <c r="L6" s="46" t="s">
        <v>5</v>
      </c>
      <c r="M6" s="46" t="s">
        <v>6</v>
      </c>
      <c r="N6" s="46" t="s">
        <v>7</v>
      </c>
    </row>
    <row r="7" spans="1:18" x14ac:dyDescent="0.3">
      <c r="B7" s="56" t="s">
        <v>28</v>
      </c>
      <c r="C7" s="54">
        <f>IF('TOTAL SHEET'!C6,'TOTAL SHEET'!C6,0)</f>
        <v>0</v>
      </c>
      <c r="D7" s="54">
        <f>IF('TOTAL SHEET'!D6,'TOTAL SHEET'!D6,0)</f>
        <v>0</v>
      </c>
      <c r="E7" s="54">
        <f>IF('TOTAL SHEET'!E6,'TOTAL SHEET'!E6,0)</f>
        <v>0</v>
      </c>
      <c r="F7" s="54">
        <f>IF('TOTAL SHEET'!F6,'TOTAL SHEET'!F6,0)</f>
        <v>0</v>
      </c>
      <c r="G7" s="54">
        <f>IF('TOTAL SHEET'!G6,'TOTAL SHEET'!G6,0)</f>
        <v>0</v>
      </c>
      <c r="H7" s="54">
        <f>IF('TOTAL SHEET'!H6,'TOTAL SHEET'!H6,0)</f>
        <v>0</v>
      </c>
      <c r="I7" s="54">
        <f>IF('TOTAL SHEET'!I6,'TOTAL SHEET'!I6,0)</f>
        <v>0</v>
      </c>
      <c r="J7" s="54">
        <f>IF('TOTAL SHEET'!J6,'TOTAL SHEET'!J6,0)</f>
        <v>0</v>
      </c>
      <c r="K7" s="54">
        <f>IF('TOTAL SHEET'!K6,'TOTAL SHEET'!K6,0)</f>
        <v>0</v>
      </c>
      <c r="L7" s="54">
        <f>IF('TOTAL SHEET'!L6,'TOTAL SHEET'!L6,0)</f>
        <v>0</v>
      </c>
      <c r="M7" s="54">
        <f>IF('TOTAL SHEET'!M6,'TOTAL SHEET'!M6,0)</f>
        <v>0</v>
      </c>
      <c r="N7" s="54">
        <f>IF('TOTAL SHEET'!N6,'TOTAL SHEET'!N6,0)</f>
        <v>0</v>
      </c>
      <c r="P7" s="61" t="s">
        <v>38</v>
      </c>
      <c r="Q7" s="64" t="s">
        <v>20</v>
      </c>
      <c r="R7" s="49">
        <f>SUM(C7+D7+E7+F7+G7+H7+I7+J7+K7+L7+M7+N7-C8-D8-E8-F8-G8-H8-I8-J8-K8-L8-M8-N8)</f>
        <v>0</v>
      </c>
    </row>
    <row r="8" spans="1:18" x14ac:dyDescent="0.3">
      <c r="B8" s="56" t="s">
        <v>10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</row>
    <row r="11" spans="1:18" x14ac:dyDescent="0.3">
      <c r="B11" s="99" t="s">
        <v>31</v>
      </c>
      <c r="C11" s="100"/>
    </row>
    <row r="13" spans="1:18" x14ac:dyDescent="0.3">
      <c r="B13" s="48"/>
      <c r="C13" s="46" t="s">
        <v>11</v>
      </c>
      <c r="D13" s="46" t="s">
        <v>12</v>
      </c>
      <c r="E13" s="46" t="s">
        <v>13</v>
      </c>
      <c r="F13" s="46" t="s">
        <v>14</v>
      </c>
      <c r="G13" s="46" t="s">
        <v>15</v>
      </c>
      <c r="H13" s="46" t="s">
        <v>16</v>
      </c>
      <c r="I13" s="46" t="s">
        <v>2</v>
      </c>
      <c r="J13" s="46" t="s">
        <v>3</v>
      </c>
      <c r="K13" s="46" t="s">
        <v>4</v>
      </c>
      <c r="L13" s="46" t="s">
        <v>5</v>
      </c>
      <c r="M13" s="46" t="s">
        <v>6</v>
      </c>
      <c r="N13" s="46" t="s">
        <v>7</v>
      </c>
    </row>
    <row r="14" spans="1:18" x14ac:dyDescent="0.3">
      <c r="B14" s="56" t="s">
        <v>28</v>
      </c>
      <c r="C14" s="57">
        <f>IF('TOTAL SHEET'!C23,'TOTAL SHEET'!C23,0)</f>
        <v>0</v>
      </c>
      <c r="D14" s="57">
        <f>IF('TOTAL SHEET'!D23,'TOTAL SHEET'!D23,0)</f>
        <v>0</v>
      </c>
      <c r="E14" s="57">
        <f>IF('TOTAL SHEET'!E23,'TOTAL SHEET'!E23,0)</f>
        <v>0</v>
      </c>
      <c r="F14" s="57">
        <f>IF('TOTAL SHEET'!F23,'TOTAL SHEET'!F23,0)</f>
        <v>0</v>
      </c>
      <c r="G14" s="57">
        <f>IF('TOTAL SHEET'!G23,'TOTAL SHEET'!G23,0)</f>
        <v>0</v>
      </c>
      <c r="H14" s="57">
        <f>IF('TOTAL SHEET'!H23,'TOTAL SHEET'!H23,0)</f>
        <v>0</v>
      </c>
      <c r="I14" s="57">
        <f>IF('TOTAL SHEET'!I23,'TOTAL SHEET'!I23,0)</f>
        <v>0</v>
      </c>
      <c r="J14" s="57">
        <f>IF('TOTAL SHEET'!J23,'TOTAL SHEET'!J23,0)</f>
        <v>0</v>
      </c>
      <c r="K14" s="57">
        <f>IF('TOTAL SHEET'!K23,'TOTAL SHEET'!K23,0)</f>
        <v>0</v>
      </c>
      <c r="L14" s="57">
        <f>IF('TOTAL SHEET'!L23,'TOTAL SHEET'!L23,0)</f>
        <v>0</v>
      </c>
      <c r="M14" s="57">
        <f>IF('TOTAL SHEET'!M23,'TOTAL SHEET'!M23,0)</f>
        <v>0</v>
      </c>
      <c r="N14" s="57">
        <f>IF('TOTAL SHEET'!N23,'TOTAL SHEET'!N23,0)</f>
        <v>0</v>
      </c>
      <c r="P14" s="61" t="s">
        <v>38</v>
      </c>
      <c r="Q14" s="64" t="s">
        <v>20</v>
      </c>
      <c r="R14" s="49">
        <f>SUM(C14+D14+E14+F14+G14+H14+I14+J14+K14+L14+M14+N14-C15-D15-E15-F15-G15-H15-I15-J15-K15-L15-M15-N15)</f>
        <v>0</v>
      </c>
    </row>
    <row r="15" spans="1:18" x14ac:dyDescent="0.3">
      <c r="B15" s="5" t="s">
        <v>10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</row>
    <row r="18" spans="2:18" x14ac:dyDescent="0.3">
      <c r="B18" s="99" t="s">
        <v>32</v>
      </c>
      <c r="C18" s="100"/>
    </row>
    <row r="20" spans="2:18" x14ac:dyDescent="0.3">
      <c r="B20" s="48"/>
      <c r="C20" s="46" t="s">
        <v>11</v>
      </c>
      <c r="D20" s="46" t="s">
        <v>12</v>
      </c>
      <c r="E20" s="46" t="s">
        <v>13</v>
      </c>
      <c r="F20" s="46" t="s">
        <v>14</v>
      </c>
      <c r="G20" s="46" t="s">
        <v>15</v>
      </c>
      <c r="H20" s="46" t="s">
        <v>16</v>
      </c>
      <c r="I20" s="46" t="s">
        <v>2</v>
      </c>
      <c r="J20" s="46" t="s">
        <v>3</v>
      </c>
      <c r="K20" s="46" t="s">
        <v>4</v>
      </c>
      <c r="L20" s="46" t="s">
        <v>5</v>
      </c>
      <c r="M20" s="46" t="s">
        <v>6</v>
      </c>
      <c r="N20" s="46" t="s">
        <v>7</v>
      </c>
    </row>
    <row r="21" spans="2:18" x14ac:dyDescent="0.3">
      <c r="B21" s="56" t="s">
        <v>28</v>
      </c>
      <c r="C21" s="57">
        <f>IF('TOTAL SHEET'!C40,'TOTAL SHEET'!C40,0)</f>
        <v>0</v>
      </c>
      <c r="D21" s="57">
        <f>IF('TOTAL SHEET'!D40,'TOTAL SHEET'!D40,0)</f>
        <v>0</v>
      </c>
      <c r="E21" s="57">
        <f>IF('TOTAL SHEET'!E40,'TOTAL SHEET'!E40,0)</f>
        <v>0</v>
      </c>
      <c r="F21" s="57">
        <f>IF('TOTAL SHEET'!F40,'TOTAL SHEET'!F40,0)</f>
        <v>0</v>
      </c>
      <c r="G21" s="57">
        <f>IF('TOTAL SHEET'!G40,'TOTAL SHEET'!G40,0)</f>
        <v>0</v>
      </c>
      <c r="H21" s="57">
        <f>IF('TOTAL SHEET'!H40,'TOTAL SHEET'!H40,0)</f>
        <v>0</v>
      </c>
      <c r="I21" s="57">
        <f>IF('TOTAL SHEET'!I40,'TOTAL SHEET'!I40,0)</f>
        <v>0</v>
      </c>
      <c r="J21" s="57">
        <f>IF('TOTAL SHEET'!J40,'TOTAL SHEET'!J40,0)</f>
        <v>0</v>
      </c>
      <c r="K21" s="57">
        <f>IF('TOTAL SHEET'!K40,'TOTAL SHEET'!K40,0)</f>
        <v>0</v>
      </c>
      <c r="L21" s="57">
        <f>IF('TOTAL SHEET'!L40,'TOTAL SHEET'!L40,0)</f>
        <v>0</v>
      </c>
      <c r="M21" s="57">
        <f>IF('TOTAL SHEET'!M40,'TOTAL SHEET'!M40,0)</f>
        <v>0</v>
      </c>
      <c r="N21" s="57">
        <f>IF('TOTAL SHEET'!N40,'TOTAL SHEET'!N40,0)</f>
        <v>0</v>
      </c>
      <c r="P21" s="62" t="s">
        <v>38</v>
      </c>
      <c r="Q21" s="63" t="s">
        <v>20</v>
      </c>
      <c r="R21" s="49">
        <f>SUM(C21+D21+E21+F21+G21+H21+I21+J21+K21+L21+M21+N21-C22-D22-E22-F22-G22-H22-I22-J22-K22-L22-M22-N22)</f>
        <v>0</v>
      </c>
    </row>
    <row r="22" spans="2:18" x14ac:dyDescent="0.3">
      <c r="B22" s="56" t="s">
        <v>10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</row>
    <row r="25" spans="2:18" x14ac:dyDescent="0.3">
      <c r="B25" s="99" t="s">
        <v>33</v>
      </c>
      <c r="C25" s="100"/>
    </row>
    <row r="27" spans="2:18" x14ac:dyDescent="0.3">
      <c r="B27" s="48"/>
      <c r="C27" s="46" t="s">
        <v>11</v>
      </c>
      <c r="D27" s="46" t="s">
        <v>12</v>
      </c>
      <c r="E27" s="46" t="s">
        <v>13</v>
      </c>
      <c r="F27" s="46" t="s">
        <v>14</v>
      </c>
      <c r="G27" s="46" t="s">
        <v>15</v>
      </c>
      <c r="H27" s="46" t="s">
        <v>16</v>
      </c>
      <c r="I27" s="46" t="s">
        <v>2</v>
      </c>
      <c r="J27" s="46" t="s">
        <v>3</v>
      </c>
      <c r="K27" s="46" t="s">
        <v>4</v>
      </c>
      <c r="L27" s="46" t="s">
        <v>5</v>
      </c>
      <c r="M27" s="46" t="s">
        <v>6</v>
      </c>
      <c r="N27" s="46" t="s">
        <v>7</v>
      </c>
    </row>
    <row r="28" spans="2:18" x14ac:dyDescent="0.3">
      <c r="B28" s="56" t="s">
        <v>28</v>
      </c>
      <c r="C28" s="57">
        <f>IF('TOTAL SHEET'!C56,'TOTAL SHEET'!C56,0)</f>
        <v>0</v>
      </c>
      <c r="D28" s="57">
        <f>IF('TOTAL SHEET'!D56,'TOTAL SHEET'!D56,0)</f>
        <v>0</v>
      </c>
      <c r="E28" s="57">
        <f>IF('TOTAL SHEET'!E56,'TOTAL SHEET'!E56,0)</f>
        <v>0</v>
      </c>
      <c r="F28" s="57">
        <f>IF('TOTAL SHEET'!F56,'TOTAL SHEET'!F56,0)</f>
        <v>0</v>
      </c>
      <c r="G28" s="57">
        <f>IF('TOTAL SHEET'!G56,'TOTAL SHEET'!G56,0)</f>
        <v>0</v>
      </c>
      <c r="H28" s="57">
        <f>IF('TOTAL SHEET'!H56,'TOTAL SHEET'!H56,0)</f>
        <v>0</v>
      </c>
      <c r="I28" s="57">
        <f>IF('TOTAL SHEET'!I56,'TOTAL SHEET'!I56,0)</f>
        <v>0</v>
      </c>
      <c r="J28" s="57">
        <f>IF('TOTAL SHEET'!J56,'TOTAL SHEET'!J56,0)</f>
        <v>0</v>
      </c>
      <c r="K28" s="57">
        <f>IF('TOTAL SHEET'!K56,'TOTAL SHEET'!K56,0)</f>
        <v>0</v>
      </c>
      <c r="L28" s="57">
        <f>IF('TOTAL SHEET'!L56,'TOTAL SHEET'!L56,0)</f>
        <v>0</v>
      </c>
      <c r="M28" s="57">
        <f>IF('TOTAL SHEET'!M56,'TOTAL SHEET'!M56,0)</f>
        <v>0</v>
      </c>
      <c r="N28" s="57">
        <f>IF('TOTAL SHEET'!N56,'TOTAL SHEET'!N56,0)</f>
        <v>0</v>
      </c>
      <c r="P28" s="62" t="s">
        <v>38</v>
      </c>
      <c r="Q28" s="63" t="s">
        <v>20</v>
      </c>
      <c r="R28" s="49">
        <f>SUM(C28+D28+E28+F28+G28+H28+I28+J28+K28+L28+M28+N28-C29-D29-E29-F29-G29-H29-I29-J29-K29-L29-M29-N29)</f>
        <v>0</v>
      </c>
    </row>
    <row r="29" spans="2:18" x14ac:dyDescent="0.3">
      <c r="B29" s="56" t="s">
        <v>10</v>
      </c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</row>
    <row r="32" spans="2:18" x14ac:dyDescent="0.3">
      <c r="B32" s="99" t="s">
        <v>40</v>
      </c>
      <c r="C32" s="100"/>
    </row>
    <row r="34" spans="2:18" x14ac:dyDescent="0.3">
      <c r="B34" s="48"/>
      <c r="C34" s="46" t="s">
        <v>11</v>
      </c>
      <c r="D34" s="46" t="s">
        <v>12</v>
      </c>
      <c r="E34" s="46" t="s">
        <v>13</v>
      </c>
      <c r="F34" s="46" t="s">
        <v>14</v>
      </c>
      <c r="G34" s="46" t="s">
        <v>15</v>
      </c>
      <c r="H34" s="46" t="s">
        <v>16</v>
      </c>
      <c r="I34" s="46" t="s">
        <v>2</v>
      </c>
      <c r="J34" s="46" t="s">
        <v>3</v>
      </c>
      <c r="K34" s="46" t="s">
        <v>4</v>
      </c>
      <c r="L34" s="46" t="s">
        <v>5</v>
      </c>
      <c r="M34" s="46" t="s">
        <v>6</v>
      </c>
      <c r="N34" s="46" t="s">
        <v>7</v>
      </c>
    </row>
    <row r="35" spans="2:18" x14ac:dyDescent="0.3">
      <c r="B35" s="56" t="s">
        <v>28</v>
      </c>
      <c r="C35" s="57">
        <f>IF('TOTAL SHEET'!C73,'TOTAL SHEET'!C73,0 )</f>
        <v>0</v>
      </c>
      <c r="D35" s="57">
        <f>IF('TOTAL SHEET'!D73,'TOTAL SHEET'!D73,0 )</f>
        <v>0</v>
      </c>
      <c r="E35" s="57">
        <f>IF('TOTAL SHEET'!E73,'TOTAL SHEET'!E73,0 )</f>
        <v>0</v>
      </c>
      <c r="F35" s="57">
        <f>IF('TOTAL SHEET'!F73,'TOTAL SHEET'!F73,0 )</f>
        <v>0</v>
      </c>
      <c r="G35" s="57">
        <f>IF('TOTAL SHEET'!G73,'TOTAL SHEET'!G73,0 )</f>
        <v>0</v>
      </c>
      <c r="H35" s="57">
        <f>IF('TOTAL SHEET'!H73,'TOTAL SHEET'!H73,0 )</f>
        <v>0</v>
      </c>
      <c r="I35" s="57">
        <f>IF('TOTAL SHEET'!I73,'TOTAL SHEET'!I73,0 )</f>
        <v>0</v>
      </c>
      <c r="J35" s="57">
        <f>IF('TOTAL SHEET'!J73,'TOTAL SHEET'!J73,0 )</f>
        <v>0</v>
      </c>
      <c r="K35" s="57">
        <f>IF('TOTAL SHEET'!K73,'TOTAL SHEET'!K73,0 )</f>
        <v>0</v>
      </c>
      <c r="L35" s="57">
        <f>IF('TOTAL SHEET'!L73,'TOTAL SHEET'!L73,0 )</f>
        <v>0</v>
      </c>
      <c r="M35" s="57">
        <f>IF('TOTAL SHEET'!M73,'TOTAL SHEET'!M73,0 )</f>
        <v>0</v>
      </c>
      <c r="N35" s="57">
        <f>IF('TOTAL SHEET'!N73,'TOTAL SHEET'!N73,0 )</f>
        <v>0</v>
      </c>
      <c r="P35" s="62" t="s">
        <v>38</v>
      </c>
      <c r="Q35" s="63" t="s">
        <v>20</v>
      </c>
      <c r="R35" s="49">
        <f>SUM(C35+D35+E35+F35+G35+H35+I35+J35+K35+L35+M35+N35-C36-D36-E36-F36-G36-H36-I36-J36-K36-L36-M36-N36)</f>
        <v>0</v>
      </c>
    </row>
    <row r="36" spans="2:18" x14ac:dyDescent="0.3">
      <c r="B36" s="56" t="s">
        <v>10</v>
      </c>
      <c r="C36" s="60"/>
      <c r="D36" s="67"/>
      <c r="E36" s="60"/>
      <c r="F36" s="60"/>
      <c r="G36" s="60"/>
      <c r="H36" s="60"/>
      <c r="I36" s="60"/>
      <c r="J36" s="60"/>
      <c r="K36" s="60"/>
      <c r="L36" s="60"/>
      <c r="M36" s="60"/>
      <c r="N36" s="60"/>
    </row>
  </sheetData>
  <sheetProtection algorithmName="SHA-512" hashValue="1fbZSYR5e6ofxIuhfXAWyoB1FuMaEf4F8qd75pEpDbthxDHi99Lc7LW4b0DD9OI1Xen5Q5heySL7UZOCjkk1cw==" saltValue="Zf7xWxcnRXSEeX0yZ2+JxA==" spinCount="100000" sheet="1" objects="1" scenarios="1"/>
  <mergeCells count="8">
    <mergeCell ref="B32:C32"/>
    <mergeCell ref="F1:G1"/>
    <mergeCell ref="B4:C4"/>
    <mergeCell ref="B11:C11"/>
    <mergeCell ref="B18:C18"/>
    <mergeCell ref="B25:C25"/>
    <mergeCell ref="B1:D1"/>
    <mergeCell ref="B2:D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45"/>
  <sheetViews>
    <sheetView workbookViewId="0">
      <selection activeCell="H3" sqref="H3"/>
    </sheetView>
  </sheetViews>
  <sheetFormatPr defaultColWidth="9.109375" defaultRowHeight="14.4" x14ac:dyDescent="0.3"/>
  <cols>
    <col min="1" max="1" width="9.109375" style="18"/>
    <col min="2" max="2" width="11.33203125" style="18" bestFit="1" customWidth="1"/>
    <col min="3" max="3" width="9.109375" style="18" customWidth="1"/>
    <col min="4" max="6" width="9.109375" style="18"/>
    <col min="7" max="8" width="9.5546875" style="18" bestFit="1" customWidth="1"/>
    <col min="9" max="10" width="9.109375" style="18"/>
    <col min="11" max="11" width="10.88671875" style="18" bestFit="1" customWidth="1"/>
    <col min="12" max="12" width="9.109375" style="18"/>
    <col min="13" max="13" width="10.44140625" style="18" bestFit="1" customWidth="1"/>
    <col min="14" max="14" width="10.109375" style="18" bestFit="1" customWidth="1"/>
    <col min="15" max="16384" width="9.109375" style="18"/>
  </cols>
  <sheetData>
    <row r="1" spans="1:18" x14ac:dyDescent="0.3">
      <c r="A1" s="19" t="s">
        <v>0</v>
      </c>
      <c r="B1" s="103" t="s">
        <v>22</v>
      </c>
      <c r="C1" s="104"/>
      <c r="D1" s="105"/>
      <c r="F1" s="101" t="s">
        <v>20</v>
      </c>
      <c r="G1" s="102"/>
      <c r="H1" s="59">
        <f>SUM(R7+R14+R21+R28+R35)</f>
        <v>0</v>
      </c>
    </row>
    <row r="2" spans="1:18" x14ac:dyDescent="0.3">
      <c r="A2" s="19" t="s">
        <v>19</v>
      </c>
      <c r="B2" s="106">
        <v>2</v>
      </c>
      <c r="C2" s="107"/>
      <c r="D2" s="108"/>
    </row>
    <row r="4" spans="1:18" x14ac:dyDescent="0.3">
      <c r="B4" s="99" t="s">
        <v>30</v>
      </c>
      <c r="C4" s="100"/>
    </row>
    <row r="6" spans="1:18" x14ac:dyDescent="0.3">
      <c r="B6" s="48"/>
      <c r="C6" s="46" t="s">
        <v>11</v>
      </c>
      <c r="D6" s="46" t="s">
        <v>12</v>
      </c>
      <c r="E6" s="46" t="s">
        <v>13</v>
      </c>
      <c r="F6" s="46" t="s">
        <v>14</v>
      </c>
      <c r="G6" s="46" t="s">
        <v>15</v>
      </c>
      <c r="H6" s="46" t="s">
        <v>16</v>
      </c>
      <c r="I6" s="46" t="s">
        <v>2</v>
      </c>
      <c r="J6" s="46" t="s">
        <v>3</v>
      </c>
      <c r="K6" s="46" t="s">
        <v>4</v>
      </c>
      <c r="L6" s="46" t="s">
        <v>5</v>
      </c>
      <c r="M6" s="46" t="s">
        <v>6</v>
      </c>
      <c r="N6" s="46" t="s">
        <v>7</v>
      </c>
    </row>
    <row r="7" spans="1:18" x14ac:dyDescent="0.3">
      <c r="B7" s="56" t="s">
        <v>28</v>
      </c>
      <c r="C7" s="54">
        <f>IF('TOTAL SHEET'!C7,'TOTAL SHEET'!C7,0)</f>
        <v>0</v>
      </c>
      <c r="D7" s="54">
        <f>IF('TOTAL SHEET'!D7,'TOTAL SHEET'!D7,0)</f>
        <v>0</v>
      </c>
      <c r="E7" s="54">
        <f>IF('TOTAL SHEET'!E7,'TOTAL SHEET'!E7,0)</f>
        <v>0</v>
      </c>
      <c r="F7" s="54">
        <f>IF('TOTAL SHEET'!F7,'TOTAL SHEET'!F7,0)</f>
        <v>0</v>
      </c>
      <c r="G7" s="54">
        <f>IF('TOTAL SHEET'!G7,'TOTAL SHEET'!G7,0)</f>
        <v>0</v>
      </c>
      <c r="H7" s="54">
        <f>IF('TOTAL SHEET'!H7,'TOTAL SHEET'!H7,0)</f>
        <v>0</v>
      </c>
      <c r="I7" s="54">
        <f>IF('TOTAL SHEET'!I7,'TOTAL SHEET'!I7,0)</f>
        <v>0</v>
      </c>
      <c r="J7" s="54">
        <f>IF('TOTAL SHEET'!J7,'TOTAL SHEET'!J7,0)</f>
        <v>0</v>
      </c>
      <c r="K7" s="54">
        <f>IF('TOTAL SHEET'!K7,'TOTAL SHEET'!K7,0)</f>
        <v>0</v>
      </c>
      <c r="L7" s="54">
        <f>IF('TOTAL SHEET'!L7,'TOTAL SHEET'!L7,0)</f>
        <v>0</v>
      </c>
      <c r="M7" s="54">
        <f>IF('TOTAL SHEET'!M7,'TOTAL SHEET'!M7,0)</f>
        <v>0</v>
      </c>
      <c r="N7" s="54">
        <f>IF('TOTAL SHEET'!N7,'TOTAL SHEET'!N7,0)</f>
        <v>0</v>
      </c>
      <c r="P7" s="61" t="s">
        <v>38</v>
      </c>
      <c r="Q7" s="58" t="s">
        <v>20</v>
      </c>
      <c r="R7" s="49">
        <f>SUM(C7+D7+E7+F7+G7+H7+I7+J7+K7+L7+M7+N7-C8-D8-E8-F8-G8-H8-I8-J8-K8-L8-M8-N8)</f>
        <v>0</v>
      </c>
    </row>
    <row r="8" spans="1:18" x14ac:dyDescent="0.3">
      <c r="B8" s="56" t="s">
        <v>10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</row>
    <row r="11" spans="1:18" x14ac:dyDescent="0.3">
      <c r="B11" s="99" t="s">
        <v>31</v>
      </c>
      <c r="C11" s="100"/>
    </row>
    <row r="13" spans="1:18" x14ac:dyDescent="0.3">
      <c r="B13" s="48"/>
      <c r="C13" s="46" t="s">
        <v>11</v>
      </c>
      <c r="D13" s="46" t="s">
        <v>12</v>
      </c>
      <c r="E13" s="46" t="s">
        <v>13</v>
      </c>
      <c r="F13" s="46" t="s">
        <v>14</v>
      </c>
      <c r="G13" s="46" t="s">
        <v>15</v>
      </c>
      <c r="H13" s="46" t="s">
        <v>16</v>
      </c>
      <c r="I13" s="46" t="s">
        <v>2</v>
      </c>
      <c r="J13" s="46" t="s">
        <v>3</v>
      </c>
      <c r="K13" s="46" t="s">
        <v>4</v>
      </c>
      <c r="L13" s="46" t="s">
        <v>5</v>
      </c>
      <c r="M13" s="46" t="s">
        <v>6</v>
      </c>
      <c r="N13" s="46" t="s">
        <v>7</v>
      </c>
    </row>
    <row r="14" spans="1:18" x14ac:dyDescent="0.3">
      <c r="B14" s="56" t="s">
        <v>28</v>
      </c>
      <c r="C14" s="57">
        <f>IF('TOTAL SHEET'!C24,'TOTAL SHEET'!C24,0)</f>
        <v>0</v>
      </c>
      <c r="D14" s="57">
        <f>IF('TOTAL SHEET'!D24,'TOTAL SHEET'!D24,0)</f>
        <v>0</v>
      </c>
      <c r="E14" s="57">
        <f>IF('TOTAL SHEET'!E24,'TOTAL SHEET'!E24,0)</f>
        <v>0</v>
      </c>
      <c r="F14" s="57">
        <f>IF('TOTAL SHEET'!F24,'TOTAL SHEET'!F24,0)</f>
        <v>0</v>
      </c>
      <c r="G14" s="57">
        <f>IF('TOTAL SHEET'!G24,'TOTAL SHEET'!G24,0)</f>
        <v>0</v>
      </c>
      <c r="H14" s="57">
        <f>IF('TOTAL SHEET'!H24,'TOTAL SHEET'!H24,0)</f>
        <v>0</v>
      </c>
      <c r="I14" s="57">
        <f>IF('TOTAL SHEET'!I24,'TOTAL SHEET'!I24,0)</f>
        <v>0</v>
      </c>
      <c r="J14" s="57">
        <f>IF('TOTAL SHEET'!J24,'TOTAL SHEET'!J24,0)</f>
        <v>0</v>
      </c>
      <c r="K14" s="57">
        <f>IF('TOTAL SHEET'!K24,'TOTAL SHEET'!K24,0)</f>
        <v>0</v>
      </c>
      <c r="L14" s="57">
        <f>IF('TOTAL SHEET'!L24,'TOTAL SHEET'!L24,0)</f>
        <v>0</v>
      </c>
      <c r="M14" s="57">
        <f>IF('TOTAL SHEET'!M24,'TOTAL SHEET'!M24,0)</f>
        <v>0</v>
      </c>
      <c r="N14" s="57">
        <f>IF('TOTAL SHEET'!N24,'TOTAL SHEET'!N24,0)</f>
        <v>0</v>
      </c>
      <c r="P14" s="61" t="s">
        <v>38</v>
      </c>
      <c r="Q14" s="58" t="s">
        <v>20</v>
      </c>
      <c r="R14" s="49">
        <f>SUM(C14+D14+E14+F14+G14+H14+I14+J14+K14+L14+M14+N14-C15-D15-E15-F15-G15-H15-I15-J15-K15-L15-M15-N15)</f>
        <v>0</v>
      </c>
    </row>
    <row r="15" spans="1:18" x14ac:dyDescent="0.3">
      <c r="B15" s="56" t="s">
        <v>10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</row>
    <row r="18" spans="2:18" x14ac:dyDescent="0.3">
      <c r="B18" s="99" t="s">
        <v>32</v>
      </c>
      <c r="C18" s="100"/>
    </row>
    <row r="20" spans="2:18" x14ac:dyDescent="0.3">
      <c r="B20" s="48"/>
      <c r="C20" s="46" t="s">
        <v>11</v>
      </c>
      <c r="D20" s="46" t="s">
        <v>12</v>
      </c>
      <c r="E20" s="46" t="s">
        <v>13</v>
      </c>
      <c r="F20" s="46" t="s">
        <v>14</v>
      </c>
      <c r="G20" s="46" t="s">
        <v>15</v>
      </c>
      <c r="H20" s="46" t="s">
        <v>16</v>
      </c>
      <c r="I20" s="46" t="s">
        <v>2</v>
      </c>
      <c r="J20" s="46" t="s">
        <v>3</v>
      </c>
      <c r="K20" s="46" t="s">
        <v>4</v>
      </c>
      <c r="L20" s="46" t="s">
        <v>5</v>
      </c>
      <c r="M20" s="46" t="s">
        <v>6</v>
      </c>
      <c r="N20" s="46" t="s">
        <v>7</v>
      </c>
    </row>
    <row r="21" spans="2:18" x14ac:dyDescent="0.3">
      <c r="B21" s="56" t="s">
        <v>28</v>
      </c>
      <c r="C21" s="57">
        <f>IF('TOTAL SHEET'!C41,'TOTAL SHEET'!C41,0)</f>
        <v>0</v>
      </c>
      <c r="D21" s="57">
        <f>IF('TOTAL SHEET'!D41,'TOTAL SHEET'!D41,0)</f>
        <v>0</v>
      </c>
      <c r="E21" s="57">
        <f>IF('TOTAL SHEET'!E41,'TOTAL SHEET'!E41,0)</f>
        <v>0</v>
      </c>
      <c r="F21" s="57">
        <f>IF('TOTAL SHEET'!F41,'TOTAL SHEET'!F41,0)</f>
        <v>0</v>
      </c>
      <c r="G21" s="57">
        <f>IF('TOTAL SHEET'!G41,'TOTAL SHEET'!G41,0)</f>
        <v>0</v>
      </c>
      <c r="H21" s="57">
        <f>IF('TOTAL SHEET'!H41,'TOTAL SHEET'!H41,0)</f>
        <v>0</v>
      </c>
      <c r="I21" s="57">
        <f>IF('TOTAL SHEET'!I41,'TOTAL SHEET'!I41,0)</f>
        <v>0</v>
      </c>
      <c r="J21" s="57">
        <f>IF('TOTAL SHEET'!J41,'TOTAL SHEET'!J41,0)</f>
        <v>0</v>
      </c>
      <c r="K21" s="57">
        <f>IF('TOTAL SHEET'!K41,'TOTAL SHEET'!K41,0)</f>
        <v>0</v>
      </c>
      <c r="L21" s="57">
        <f>IF('TOTAL SHEET'!L41,'TOTAL SHEET'!L41,0)</f>
        <v>0</v>
      </c>
      <c r="M21" s="57">
        <f>IF('TOTAL SHEET'!M41,'TOTAL SHEET'!M41,0)</f>
        <v>0</v>
      </c>
      <c r="N21" s="57">
        <f>IF('TOTAL SHEET'!N41,'TOTAL SHEET'!N41,0)</f>
        <v>0</v>
      </c>
      <c r="P21" s="61" t="s">
        <v>38</v>
      </c>
      <c r="Q21" s="58" t="s">
        <v>20</v>
      </c>
      <c r="R21" s="49">
        <f>SUM(C21+D21+E21+F21+G21+H21+I21+J21+K21+L21+M21+N21-C22-D22-E22-F22-G22-H22-I22-J22-K22-L22-M22-N22)</f>
        <v>0</v>
      </c>
    </row>
    <row r="22" spans="2:18" x14ac:dyDescent="0.3">
      <c r="B22" s="56" t="s">
        <v>10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</row>
    <row r="25" spans="2:18" x14ac:dyDescent="0.3">
      <c r="B25" s="99" t="s">
        <v>33</v>
      </c>
      <c r="C25" s="100"/>
    </row>
    <row r="27" spans="2:18" x14ac:dyDescent="0.3">
      <c r="B27" s="48"/>
      <c r="C27" s="46" t="s">
        <v>11</v>
      </c>
      <c r="D27" s="46" t="s">
        <v>12</v>
      </c>
      <c r="E27" s="46" t="s">
        <v>13</v>
      </c>
      <c r="F27" s="46" t="s">
        <v>14</v>
      </c>
      <c r="G27" s="46" t="s">
        <v>15</v>
      </c>
      <c r="H27" s="46" t="s">
        <v>16</v>
      </c>
      <c r="I27" s="46" t="s">
        <v>2</v>
      </c>
      <c r="J27" s="46" t="s">
        <v>3</v>
      </c>
      <c r="K27" s="46" t="s">
        <v>4</v>
      </c>
      <c r="L27" s="46" t="s">
        <v>5</v>
      </c>
      <c r="M27" s="46" t="s">
        <v>6</v>
      </c>
      <c r="N27" s="46" t="s">
        <v>7</v>
      </c>
    </row>
    <row r="28" spans="2:18" x14ac:dyDescent="0.3">
      <c r="B28" s="56" t="s">
        <v>28</v>
      </c>
      <c r="C28" s="57">
        <f>IF('TOTAL SHEET'!C57,'TOTAL SHEET'!C57,0)</f>
        <v>0</v>
      </c>
      <c r="D28" s="57">
        <f>IF('TOTAL SHEET'!D57,'TOTAL SHEET'!D57,0)</f>
        <v>0</v>
      </c>
      <c r="E28" s="57">
        <f>IF('TOTAL SHEET'!E57,'TOTAL SHEET'!E57,0)</f>
        <v>0</v>
      </c>
      <c r="F28" s="57">
        <f>IF('TOTAL SHEET'!F57,'TOTAL SHEET'!F57,0)</f>
        <v>0</v>
      </c>
      <c r="G28" s="57">
        <f>IF('TOTAL SHEET'!G57,'TOTAL SHEET'!G57,0)</f>
        <v>0</v>
      </c>
      <c r="H28" s="57">
        <f>IF('TOTAL SHEET'!H57,'TOTAL SHEET'!H57,0)</f>
        <v>0</v>
      </c>
      <c r="I28" s="57">
        <f>IF('TOTAL SHEET'!I57,'TOTAL SHEET'!I57,0)</f>
        <v>0</v>
      </c>
      <c r="J28" s="57">
        <f>IF('TOTAL SHEET'!J57,'TOTAL SHEET'!J57,0)</f>
        <v>0</v>
      </c>
      <c r="K28" s="57">
        <f>IF('TOTAL SHEET'!K57,'TOTAL SHEET'!K57,0)</f>
        <v>0</v>
      </c>
      <c r="L28" s="57">
        <f>IF('TOTAL SHEET'!L57,'TOTAL SHEET'!L57,0)</f>
        <v>0</v>
      </c>
      <c r="M28" s="51">
        <f>IF('TOTAL SHEET'!M57,'TOTAL SHEET'!M57,0)</f>
        <v>0</v>
      </c>
      <c r="N28" s="57">
        <f>IF('TOTAL SHEET'!N57,'TOTAL SHEET'!N57,0)</f>
        <v>0</v>
      </c>
      <c r="P28" s="62" t="s">
        <v>38</v>
      </c>
      <c r="Q28" s="47" t="s">
        <v>20</v>
      </c>
      <c r="R28" s="49">
        <f>SUM(C28+D28+E28+F28+G28+H28+I28+J28+K28+L28+M28+N28-C29-D29-E29-F29-G29-H29-I29-J29-K29-L29-M29-N29)</f>
        <v>0</v>
      </c>
    </row>
    <row r="29" spans="2:18" x14ac:dyDescent="0.3">
      <c r="B29" s="56" t="s">
        <v>10</v>
      </c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</row>
    <row r="32" spans="2:18" x14ac:dyDescent="0.3">
      <c r="B32" s="99" t="s">
        <v>40</v>
      </c>
      <c r="C32" s="100"/>
    </row>
    <row r="34" spans="1:19" x14ac:dyDescent="0.3">
      <c r="B34" s="48"/>
      <c r="C34" s="46" t="s">
        <v>11</v>
      </c>
      <c r="D34" s="46" t="s">
        <v>12</v>
      </c>
      <c r="E34" s="46" t="s">
        <v>13</v>
      </c>
      <c r="F34" s="46" t="s">
        <v>14</v>
      </c>
      <c r="G34" s="46" t="s">
        <v>15</v>
      </c>
      <c r="H34" s="46" t="s">
        <v>16</v>
      </c>
      <c r="I34" s="46" t="s">
        <v>2</v>
      </c>
      <c r="J34" s="46" t="s">
        <v>3</v>
      </c>
      <c r="K34" s="46" t="s">
        <v>4</v>
      </c>
      <c r="L34" s="46" t="s">
        <v>5</v>
      </c>
      <c r="M34" s="46" t="s">
        <v>6</v>
      </c>
      <c r="N34" s="46" t="s">
        <v>7</v>
      </c>
    </row>
    <row r="35" spans="1:19" x14ac:dyDescent="0.3">
      <c r="B35" s="56" t="s">
        <v>28</v>
      </c>
      <c r="C35" s="57">
        <f>IF('TOTAL SHEET'!C74,'TOTAL SHEET'!C74,0)</f>
        <v>0</v>
      </c>
      <c r="D35" s="57">
        <f>IF('TOTAL SHEET'!D74,'TOTAL SHEET'!D74,0)</f>
        <v>0</v>
      </c>
      <c r="E35" s="57">
        <f>IF('TOTAL SHEET'!E74,'TOTAL SHEET'!E74,0)</f>
        <v>0</v>
      </c>
      <c r="F35" s="57">
        <f>IF('TOTAL SHEET'!F74,'TOTAL SHEET'!F74,0)</f>
        <v>0</v>
      </c>
      <c r="G35" s="57">
        <f>IF('TOTAL SHEET'!G74,'TOTAL SHEET'!G74,0)</f>
        <v>0</v>
      </c>
      <c r="H35" s="57">
        <f>IF('TOTAL SHEET'!H74,'TOTAL SHEET'!H74,0)</f>
        <v>0</v>
      </c>
      <c r="I35" s="57">
        <f>IF('TOTAL SHEET'!I74,'TOTAL SHEET'!I74,0)</f>
        <v>0</v>
      </c>
      <c r="J35" s="57">
        <f>IF('TOTAL SHEET'!J74,'TOTAL SHEET'!J74,0)</f>
        <v>0</v>
      </c>
      <c r="K35" s="57">
        <f>IF('TOTAL SHEET'!K74,'TOTAL SHEET'!K74,0)</f>
        <v>0</v>
      </c>
      <c r="L35" s="57">
        <f>IF('TOTAL SHEET'!L74,'TOTAL SHEET'!L74,0)</f>
        <v>0</v>
      </c>
      <c r="M35" s="57">
        <f>IF('TOTAL SHEET'!M74,'TOTAL SHEET'!M74,0)</f>
        <v>0</v>
      </c>
      <c r="N35" s="57">
        <f>IF('TOTAL SHEET'!N74,'TOTAL SHEET'!N74,0)</f>
        <v>0</v>
      </c>
      <c r="P35" s="62" t="s">
        <v>38</v>
      </c>
      <c r="Q35" s="47" t="s">
        <v>20</v>
      </c>
      <c r="R35" s="49">
        <f>SUM(C35+D35+E35+F35+G35+H35+I35+J35+K35+L35+M35+N35-C36-D36-E36-F36-G36-H36-I36-J36-K36-L36-M36-N36)</f>
        <v>0</v>
      </c>
    </row>
    <row r="36" spans="1:19" x14ac:dyDescent="0.3">
      <c r="B36" s="56" t="s">
        <v>10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</row>
    <row r="39" spans="1:19" x14ac:dyDescent="0.3">
      <c r="A39" s="68"/>
      <c r="B39" s="109"/>
      <c r="C39" s="109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</row>
    <row r="40" spans="1:19" x14ac:dyDescent="0.3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</row>
    <row r="41" spans="1:19" x14ac:dyDescent="0.3">
      <c r="A41" s="68"/>
      <c r="B41" s="68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8"/>
      <c r="P41" s="68"/>
      <c r="Q41" s="68"/>
      <c r="R41" s="68"/>
      <c r="S41" s="68"/>
    </row>
    <row r="42" spans="1:19" x14ac:dyDescent="0.3">
      <c r="A42" s="68"/>
      <c r="B42" s="69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68"/>
      <c r="P42" s="71"/>
      <c r="Q42" s="69"/>
      <c r="R42" s="70"/>
      <c r="S42" s="68"/>
    </row>
    <row r="43" spans="1:19" x14ac:dyDescent="0.3">
      <c r="A43" s="68"/>
      <c r="B43" s="69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68"/>
      <c r="P43" s="68"/>
      <c r="Q43" s="68"/>
      <c r="R43" s="68"/>
      <c r="S43" s="68"/>
    </row>
    <row r="44" spans="1:19" x14ac:dyDescent="0.3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</row>
    <row r="45" spans="1:19" x14ac:dyDescent="0.3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</row>
  </sheetData>
  <sheetProtection algorithmName="SHA-512" hashValue="+M6bC+UPy9gRpLiPZNebZuanF1LypGpJADVpQfjN1qtNo6U0QbGe2FmAWDMk615NlLQrv5mbAXLh/F4vfvbzAw==" saltValue="sDCS2Ft/w89OEpSuIOHPiw==" spinCount="100000" sheet="1" objects="1" scenarios="1"/>
  <mergeCells count="9">
    <mergeCell ref="F1:G1"/>
    <mergeCell ref="B2:D2"/>
    <mergeCell ref="B4:C4"/>
    <mergeCell ref="B32:C32"/>
    <mergeCell ref="B39:C39"/>
    <mergeCell ref="B18:C18"/>
    <mergeCell ref="B25:C25"/>
    <mergeCell ref="B11:C11"/>
    <mergeCell ref="B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36"/>
  <sheetViews>
    <sheetView workbookViewId="0">
      <selection activeCell="H27" sqref="H27"/>
    </sheetView>
  </sheetViews>
  <sheetFormatPr defaultColWidth="9.109375" defaultRowHeight="14.4" x14ac:dyDescent="0.3"/>
  <cols>
    <col min="1" max="1" width="9.109375" style="18"/>
    <col min="2" max="2" width="11.33203125" style="18" bestFit="1" customWidth="1"/>
    <col min="3" max="3" width="9.109375" style="18" customWidth="1"/>
    <col min="4" max="10" width="9.109375" style="18"/>
    <col min="11" max="11" width="10.88671875" style="18" bestFit="1" customWidth="1"/>
    <col min="12" max="12" width="9.109375" style="18"/>
    <col min="13" max="13" width="10.44140625" style="18" bestFit="1" customWidth="1"/>
    <col min="14" max="14" width="10.109375" style="18" bestFit="1" customWidth="1"/>
    <col min="15" max="16384" width="9.109375" style="18"/>
  </cols>
  <sheetData>
    <row r="1" spans="1:18" x14ac:dyDescent="0.3">
      <c r="A1" s="19" t="s">
        <v>0</v>
      </c>
      <c r="B1" s="103" t="s">
        <v>23</v>
      </c>
      <c r="C1" s="104"/>
      <c r="D1" s="105"/>
      <c r="F1" s="101" t="s">
        <v>20</v>
      </c>
      <c r="G1" s="102"/>
      <c r="H1" s="59">
        <f>SUM(R7+R14+R21+R28+R35)</f>
        <v>0</v>
      </c>
    </row>
    <row r="2" spans="1:18" x14ac:dyDescent="0.3">
      <c r="A2" s="19" t="s">
        <v>19</v>
      </c>
      <c r="B2" s="106">
        <v>3</v>
      </c>
      <c r="C2" s="107"/>
      <c r="D2" s="108"/>
    </row>
    <row r="4" spans="1:18" x14ac:dyDescent="0.3">
      <c r="B4" s="99" t="s">
        <v>30</v>
      </c>
      <c r="C4" s="100"/>
    </row>
    <row r="6" spans="1:18" x14ac:dyDescent="0.3">
      <c r="B6" s="48"/>
      <c r="C6" s="46" t="s">
        <v>11</v>
      </c>
      <c r="D6" s="46" t="s">
        <v>12</v>
      </c>
      <c r="E6" s="46" t="s">
        <v>13</v>
      </c>
      <c r="F6" s="46" t="s">
        <v>14</v>
      </c>
      <c r="G6" s="46" t="s">
        <v>15</v>
      </c>
      <c r="H6" s="46" t="s">
        <v>16</v>
      </c>
      <c r="I6" s="46" t="s">
        <v>2</v>
      </c>
      <c r="J6" s="46" t="s">
        <v>3</v>
      </c>
      <c r="K6" s="46" t="s">
        <v>4</v>
      </c>
      <c r="L6" s="46" t="s">
        <v>5</v>
      </c>
      <c r="M6" s="46" t="s">
        <v>6</v>
      </c>
      <c r="N6" s="46" t="s">
        <v>7</v>
      </c>
    </row>
    <row r="7" spans="1:18" x14ac:dyDescent="0.3">
      <c r="B7" s="5" t="s">
        <v>28</v>
      </c>
      <c r="C7" s="54">
        <f>IF('TOTAL SHEET'!C8,'TOTAL SHEET'!C8,0)</f>
        <v>0</v>
      </c>
      <c r="D7" s="54">
        <f>IF('TOTAL SHEET'!D8,'TOTAL SHEET'!D8,0)</f>
        <v>0</v>
      </c>
      <c r="E7" s="54">
        <f>IF('TOTAL SHEET'!E8,'TOTAL SHEET'!E8,0)</f>
        <v>0</v>
      </c>
      <c r="F7" s="54">
        <f>IF('TOTAL SHEET'!F8,'TOTAL SHEET'!F8,0)</f>
        <v>0</v>
      </c>
      <c r="G7" s="54">
        <f>IF('TOTAL SHEET'!G8,'TOTAL SHEET'!G8,0)</f>
        <v>0</v>
      </c>
      <c r="H7" s="54">
        <f>IF('TOTAL SHEET'!H8,'TOTAL SHEET'!H8,0)</f>
        <v>0</v>
      </c>
      <c r="I7" s="54">
        <f>IF('TOTAL SHEET'!I8,'TOTAL SHEET'!I8,0)</f>
        <v>0</v>
      </c>
      <c r="J7" s="54">
        <f>IF('TOTAL SHEET'!J8,'TOTAL SHEET'!J8,0)</f>
        <v>0</v>
      </c>
      <c r="K7" s="54">
        <f>IF('TOTAL SHEET'!K8,'TOTAL SHEET'!K8,0)</f>
        <v>0</v>
      </c>
      <c r="L7" s="54">
        <f>IF('TOTAL SHEET'!L8,'TOTAL SHEET'!L8,0)</f>
        <v>0</v>
      </c>
      <c r="M7" s="54">
        <f>IF('TOTAL SHEET'!M8,'TOTAL SHEET'!M8,0)</f>
        <v>0</v>
      </c>
      <c r="N7" s="54">
        <f>IF('TOTAL SHEET'!N8,'TOTAL SHEET'!N8,0)</f>
        <v>0</v>
      </c>
      <c r="P7" s="61" t="s">
        <v>38</v>
      </c>
      <c r="Q7" s="58" t="s">
        <v>20</v>
      </c>
      <c r="R7" s="49">
        <f>SUM(C7+D7+E7+F7+G7+H7+I7+J7+K7+L7+M7+N7-C8-D8-E8-F8-G8-H8-I8-J8-K8-L8-M8-N8)</f>
        <v>0</v>
      </c>
    </row>
    <row r="8" spans="1:18" x14ac:dyDescent="0.3">
      <c r="B8" s="5" t="s">
        <v>10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</row>
    <row r="11" spans="1:18" x14ac:dyDescent="0.3">
      <c r="B11" s="99" t="s">
        <v>31</v>
      </c>
      <c r="C11" s="100"/>
    </row>
    <row r="13" spans="1:18" x14ac:dyDescent="0.3">
      <c r="B13" s="48"/>
      <c r="C13" s="46" t="s">
        <v>11</v>
      </c>
      <c r="D13" s="46" t="s">
        <v>12</v>
      </c>
      <c r="E13" s="46" t="s">
        <v>13</v>
      </c>
      <c r="F13" s="46" t="s">
        <v>14</v>
      </c>
      <c r="G13" s="46" t="s">
        <v>15</v>
      </c>
      <c r="H13" s="46" t="s">
        <v>16</v>
      </c>
      <c r="I13" s="46" t="s">
        <v>2</v>
      </c>
      <c r="J13" s="46" t="s">
        <v>3</v>
      </c>
      <c r="K13" s="46" t="s">
        <v>4</v>
      </c>
      <c r="L13" s="46" t="s">
        <v>5</v>
      </c>
      <c r="M13" s="46" t="s">
        <v>6</v>
      </c>
      <c r="N13" s="46" t="s">
        <v>7</v>
      </c>
    </row>
    <row r="14" spans="1:18" x14ac:dyDescent="0.3">
      <c r="B14" s="56" t="s">
        <v>28</v>
      </c>
      <c r="C14" s="57">
        <f>IF('TOTAL SHEET'!C25,'TOTAL SHEET'!C25,0)</f>
        <v>0</v>
      </c>
      <c r="D14" s="57">
        <f>IF('TOTAL SHEET'!D25,'TOTAL SHEET'!D25,0)</f>
        <v>0</v>
      </c>
      <c r="E14" s="57">
        <f>IF('TOTAL SHEET'!E25,'TOTAL SHEET'!E25,0)</f>
        <v>0</v>
      </c>
      <c r="F14" s="57">
        <f>IF('TOTAL SHEET'!F25,'TOTAL SHEET'!F25,0)</f>
        <v>0</v>
      </c>
      <c r="G14" s="57">
        <f>IF('TOTAL SHEET'!G25,'TOTAL SHEET'!G25,0)</f>
        <v>0</v>
      </c>
      <c r="H14" s="57">
        <f>IF('TOTAL SHEET'!H25,'TOTAL SHEET'!H25,0)</f>
        <v>0</v>
      </c>
      <c r="I14" s="57">
        <f>IF('TOTAL SHEET'!I25,'TOTAL SHEET'!I25,0)</f>
        <v>0</v>
      </c>
      <c r="J14" s="57">
        <f>IF('TOTAL SHEET'!J25,'TOTAL SHEET'!J25,0)</f>
        <v>0</v>
      </c>
      <c r="K14" s="57">
        <f>IF('TOTAL SHEET'!K25,'TOTAL SHEET'!K25,0)</f>
        <v>0</v>
      </c>
      <c r="L14" s="57">
        <f>IF('TOTAL SHEET'!L25,'TOTAL SHEET'!L25,0)</f>
        <v>0</v>
      </c>
      <c r="M14" s="57">
        <f>IF('TOTAL SHEET'!M25,'TOTAL SHEET'!M25,0)</f>
        <v>0</v>
      </c>
      <c r="N14" s="57">
        <f>IF('TOTAL SHEET'!N25,'TOTAL SHEET'!N25,0)</f>
        <v>0</v>
      </c>
      <c r="P14" s="61" t="s">
        <v>29</v>
      </c>
      <c r="Q14" s="58" t="s">
        <v>20</v>
      </c>
      <c r="R14" s="49">
        <f>SUM(C14+D14+E14+F14+G14+H14+I14+J14+K14+L14+M14+N14-C15-D15-E15-F15-G15-H15-I15-J15-K15-L15-M15-N15)</f>
        <v>0</v>
      </c>
    </row>
    <row r="15" spans="1:18" x14ac:dyDescent="0.3">
      <c r="B15" s="56" t="s">
        <v>10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</row>
    <row r="18" spans="2:18" x14ac:dyDescent="0.3">
      <c r="B18" s="99" t="s">
        <v>32</v>
      </c>
      <c r="C18" s="100"/>
    </row>
    <row r="20" spans="2:18" x14ac:dyDescent="0.3">
      <c r="B20" s="55"/>
      <c r="C20" s="46" t="s">
        <v>11</v>
      </c>
      <c r="D20" s="46" t="s">
        <v>12</v>
      </c>
      <c r="E20" s="46" t="s">
        <v>13</v>
      </c>
      <c r="F20" s="46" t="s">
        <v>14</v>
      </c>
      <c r="G20" s="46" t="s">
        <v>15</v>
      </c>
      <c r="H20" s="46" t="s">
        <v>16</v>
      </c>
      <c r="I20" s="46" t="s">
        <v>2</v>
      </c>
      <c r="J20" s="46" t="s">
        <v>3</v>
      </c>
      <c r="K20" s="46" t="s">
        <v>4</v>
      </c>
      <c r="L20" s="46" t="s">
        <v>5</v>
      </c>
      <c r="M20" s="46" t="s">
        <v>6</v>
      </c>
      <c r="N20" s="46" t="s">
        <v>7</v>
      </c>
    </row>
    <row r="21" spans="2:18" x14ac:dyDescent="0.3">
      <c r="B21" s="56" t="s">
        <v>28</v>
      </c>
      <c r="C21" s="57">
        <f>IF('TOTAL SHEET'!C42,'TOTAL SHEET'!C42,0)</f>
        <v>0</v>
      </c>
      <c r="D21" s="57">
        <f>IF('TOTAL SHEET'!D42,'TOTAL SHEET'!D42,0)</f>
        <v>0</v>
      </c>
      <c r="E21" s="57">
        <f>IF('TOTAL SHEET'!E42,'TOTAL SHEET'!E42,0)</f>
        <v>0</v>
      </c>
      <c r="F21" s="57">
        <f>IF('TOTAL SHEET'!F42,'TOTAL SHEET'!F42,0)</f>
        <v>0</v>
      </c>
      <c r="G21" s="57">
        <f>IF('TOTAL SHEET'!G42,'TOTAL SHEET'!G42,0)</f>
        <v>0</v>
      </c>
      <c r="H21" s="57">
        <f>IF('TOTAL SHEET'!H42,'TOTAL SHEET'!H42,0)</f>
        <v>0</v>
      </c>
      <c r="I21" s="57">
        <f>IF('TOTAL SHEET'!I42,'TOTAL SHEET'!I42,0)</f>
        <v>0</v>
      </c>
      <c r="J21" s="57">
        <f>IF('TOTAL SHEET'!J42,'TOTAL SHEET'!J42,0)</f>
        <v>0</v>
      </c>
      <c r="K21" s="57">
        <f>IF('TOTAL SHEET'!K42,'TOTAL SHEET'!K42,0)</f>
        <v>0</v>
      </c>
      <c r="L21" s="57">
        <f>IF('TOTAL SHEET'!L42,'TOTAL SHEET'!L42,0)</f>
        <v>0</v>
      </c>
      <c r="M21" s="57">
        <f>IF('TOTAL SHEET'!M42,'TOTAL SHEET'!M42,0)</f>
        <v>0</v>
      </c>
      <c r="N21" s="57">
        <f>IF('TOTAL SHEET'!N42,'TOTAL SHEET'!N42,0)</f>
        <v>0</v>
      </c>
      <c r="P21" s="62" t="s">
        <v>38</v>
      </c>
      <c r="Q21" s="47" t="s">
        <v>20</v>
      </c>
      <c r="R21" s="49">
        <f>SUM(C21+D21+E21+F21+G21+H21+I21+J21+K21+L21+M21+N21-C22-D22-E22-F22-G22-H22-I22-J22-K22-L22-M22-N22)</f>
        <v>0</v>
      </c>
    </row>
    <row r="22" spans="2:18" x14ac:dyDescent="0.3">
      <c r="B22" s="56" t="s">
        <v>10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</row>
    <row r="25" spans="2:18" x14ac:dyDescent="0.3">
      <c r="B25" s="99" t="s">
        <v>33</v>
      </c>
      <c r="C25" s="100"/>
    </row>
    <row r="27" spans="2:18" x14ac:dyDescent="0.3">
      <c r="B27" s="48"/>
      <c r="C27" s="46" t="s">
        <v>11</v>
      </c>
      <c r="D27" s="46" t="s">
        <v>12</v>
      </c>
      <c r="E27" s="46" t="s">
        <v>13</v>
      </c>
      <c r="F27" s="46" t="s">
        <v>14</v>
      </c>
      <c r="G27" s="46" t="s">
        <v>15</v>
      </c>
      <c r="H27" s="46" t="s">
        <v>16</v>
      </c>
      <c r="I27" s="46" t="s">
        <v>2</v>
      </c>
      <c r="J27" s="46" t="s">
        <v>3</v>
      </c>
      <c r="K27" s="46" t="s">
        <v>4</v>
      </c>
      <c r="L27" s="46" t="s">
        <v>5</v>
      </c>
      <c r="M27" s="46" t="s">
        <v>6</v>
      </c>
      <c r="N27" s="46" t="s">
        <v>7</v>
      </c>
    </row>
    <row r="28" spans="2:18" x14ac:dyDescent="0.3">
      <c r="B28" s="56" t="s">
        <v>28</v>
      </c>
      <c r="C28" s="57">
        <f>IF('TOTAL SHEET'!C58,'TOTAL SHEET'!C58,0)</f>
        <v>0</v>
      </c>
      <c r="D28" s="57">
        <f>IF('TOTAL SHEET'!D58,'TOTAL SHEET'!D58,0)</f>
        <v>0</v>
      </c>
      <c r="E28" s="57">
        <f>IF('TOTAL SHEET'!E58,'TOTAL SHEET'!E58,0)</f>
        <v>0</v>
      </c>
      <c r="F28" s="57">
        <f>IF('TOTAL SHEET'!F58,'TOTAL SHEET'!F58,0)</f>
        <v>0</v>
      </c>
      <c r="G28" s="57">
        <f>IF('TOTAL SHEET'!G58,'TOTAL SHEET'!G58,0)</f>
        <v>0</v>
      </c>
      <c r="H28" s="57">
        <f>IF('TOTAL SHEET'!H58,'TOTAL SHEET'!H58,0)</f>
        <v>0</v>
      </c>
      <c r="I28" s="57">
        <f>IF('TOTAL SHEET'!I58,'TOTAL SHEET'!I58,0)</f>
        <v>0</v>
      </c>
      <c r="J28" s="57">
        <f>IF('TOTAL SHEET'!J58,'TOTAL SHEET'!J58,0)</f>
        <v>0</v>
      </c>
      <c r="K28" s="57">
        <f>IF('TOTAL SHEET'!K58,'TOTAL SHEET'!K58,0)</f>
        <v>0</v>
      </c>
      <c r="L28" s="57">
        <f>IF('TOTAL SHEET'!L58,'TOTAL SHEET'!L58,0)</f>
        <v>0</v>
      </c>
      <c r="M28" s="57">
        <f>IF('TOTAL SHEET'!M58,'TOTAL SHEET'!M58,0)</f>
        <v>0</v>
      </c>
      <c r="N28" s="57">
        <f>IF('TOTAL SHEET'!N58,'TOTAL SHEET'!N58,0)</f>
        <v>0</v>
      </c>
      <c r="P28" s="61" t="s">
        <v>38</v>
      </c>
      <c r="Q28" s="58" t="s">
        <v>20</v>
      </c>
      <c r="R28" s="49">
        <f>SUM(C28+D28+E28+F28+G28+H28+I28+J28+K28+L28+M28+N28-C29-D29-E29-F29-G29-H29-I29-J29-K29-L29-M29-N29)</f>
        <v>0</v>
      </c>
    </row>
    <row r="29" spans="2:18" x14ac:dyDescent="0.3">
      <c r="B29" s="56" t="s">
        <v>10</v>
      </c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</row>
    <row r="32" spans="2:18" x14ac:dyDescent="0.3">
      <c r="B32" s="99" t="s">
        <v>40</v>
      </c>
      <c r="C32" s="100"/>
    </row>
    <row r="34" spans="2:18" x14ac:dyDescent="0.3">
      <c r="B34" s="48"/>
      <c r="C34" s="46" t="s">
        <v>11</v>
      </c>
      <c r="D34" s="46" t="s">
        <v>12</v>
      </c>
      <c r="E34" s="46" t="s">
        <v>13</v>
      </c>
      <c r="F34" s="46" t="s">
        <v>14</v>
      </c>
      <c r="G34" s="46" t="s">
        <v>15</v>
      </c>
      <c r="H34" s="46" t="s">
        <v>16</v>
      </c>
      <c r="I34" s="46" t="s">
        <v>2</v>
      </c>
      <c r="J34" s="46" t="s">
        <v>3</v>
      </c>
      <c r="K34" s="46" t="s">
        <v>4</v>
      </c>
      <c r="L34" s="46" t="s">
        <v>5</v>
      </c>
      <c r="M34" s="46" t="s">
        <v>6</v>
      </c>
      <c r="N34" s="46" t="s">
        <v>7</v>
      </c>
    </row>
    <row r="35" spans="2:18" x14ac:dyDescent="0.3">
      <c r="B35" s="56" t="s">
        <v>28</v>
      </c>
      <c r="C35" s="57">
        <f>IF('TOTAL SHEET'!C75,'TOTAL SHEET'!C75,0)</f>
        <v>0</v>
      </c>
      <c r="D35" s="57">
        <f>IF('TOTAL SHEET'!D75,'TOTAL SHEET'!D75,0)</f>
        <v>0</v>
      </c>
      <c r="E35" s="57">
        <f>IF('TOTAL SHEET'!E75,'TOTAL SHEET'!E75,0)</f>
        <v>0</v>
      </c>
      <c r="F35" s="57">
        <f>IF('TOTAL SHEET'!F75,'TOTAL SHEET'!F75,0)</f>
        <v>0</v>
      </c>
      <c r="G35" s="57">
        <f>IF('TOTAL SHEET'!G75,'TOTAL SHEET'!G75,0)</f>
        <v>0</v>
      </c>
      <c r="H35" s="57">
        <f>IF('TOTAL SHEET'!H75,'TOTAL SHEET'!H75,0)</f>
        <v>0</v>
      </c>
      <c r="I35" s="57">
        <f>IF('TOTAL SHEET'!I75,'TOTAL SHEET'!I75,0)</f>
        <v>0</v>
      </c>
      <c r="J35" s="57">
        <f>IF('TOTAL SHEET'!J75,'TOTAL SHEET'!J75,0)</f>
        <v>0</v>
      </c>
      <c r="K35" s="57">
        <f>IF('TOTAL SHEET'!K75,'TOTAL SHEET'!K75,0)</f>
        <v>0</v>
      </c>
      <c r="L35" s="57">
        <f>IF('TOTAL SHEET'!L75,'TOTAL SHEET'!L75,0)</f>
        <v>0</v>
      </c>
      <c r="M35" s="57">
        <f>IF('TOTAL SHEET'!M75,'TOTAL SHEET'!M75,0)</f>
        <v>0</v>
      </c>
      <c r="N35" s="57">
        <f>IF('TOTAL SHEET'!N75,'TOTAL SHEET'!N75,0)</f>
        <v>0</v>
      </c>
      <c r="P35" s="65" t="s">
        <v>38</v>
      </c>
      <c r="Q35" s="58" t="s">
        <v>20</v>
      </c>
      <c r="R35" s="49">
        <f>SUM(C35+D35+E35+F35+G35+H35+I35+J35+K35+L35+M35+N35-C36-D36-E36-F36-G36-H36-I36-J36-K36-L36-M36-N36)</f>
        <v>0</v>
      </c>
    </row>
    <row r="36" spans="2:18" x14ac:dyDescent="0.3">
      <c r="B36" s="56" t="s">
        <v>10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</row>
  </sheetData>
  <sheetProtection algorithmName="SHA-512" hashValue="PGJ4XMn60MG1YKVHPh0sZK0I+UlS9CP3zdBuNBqfUtvJnlpZncanX/VIJj4wwjuQ3iPm6VoyIf1+B66RTfBAXw==" saltValue="mv1dyHUk4y5B75b+67HgOQ==" spinCount="100000" sheet="1" objects="1" scenarios="1"/>
  <mergeCells count="8">
    <mergeCell ref="B32:C32"/>
    <mergeCell ref="F1:G1"/>
    <mergeCell ref="B2:D2"/>
    <mergeCell ref="B18:C18"/>
    <mergeCell ref="B25:C25"/>
    <mergeCell ref="B11:C11"/>
    <mergeCell ref="B4:C4"/>
    <mergeCell ref="B1:D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36"/>
  <sheetViews>
    <sheetView workbookViewId="0">
      <selection activeCell="I4" sqref="I4"/>
    </sheetView>
  </sheetViews>
  <sheetFormatPr defaultColWidth="9.109375" defaultRowHeight="14.4" x14ac:dyDescent="0.3"/>
  <cols>
    <col min="1" max="1" width="9.109375" style="18"/>
    <col min="2" max="2" width="11.33203125" style="18" bestFit="1" customWidth="1"/>
    <col min="3" max="3" width="9.109375" style="18" customWidth="1"/>
    <col min="4" max="10" width="9.109375" style="18"/>
    <col min="11" max="11" width="10.88671875" style="18" bestFit="1" customWidth="1"/>
    <col min="12" max="12" width="9.109375" style="18"/>
    <col min="13" max="13" width="10.44140625" style="18" bestFit="1" customWidth="1"/>
    <col min="14" max="14" width="10.109375" style="18" bestFit="1" customWidth="1"/>
    <col min="15" max="16384" width="9.109375" style="18"/>
  </cols>
  <sheetData>
    <row r="1" spans="1:18" x14ac:dyDescent="0.3">
      <c r="A1" s="19" t="s">
        <v>0</v>
      </c>
      <c r="B1" s="103" t="s">
        <v>24</v>
      </c>
      <c r="C1" s="104"/>
      <c r="D1" s="105"/>
      <c r="F1" s="101" t="s">
        <v>20</v>
      </c>
      <c r="G1" s="102"/>
      <c r="H1" s="59">
        <f>SUM(R7+R14+R21+R28+R35)</f>
        <v>0</v>
      </c>
    </row>
    <row r="2" spans="1:18" x14ac:dyDescent="0.3">
      <c r="A2" s="19" t="s">
        <v>19</v>
      </c>
      <c r="B2" s="106">
        <v>4</v>
      </c>
      <c r="C2" s="107"/>
      <c r="D2" s="108"/>
    </row>
    <row r="4" spans="1:18" x14ac:dyDescent="0.3">
      <c r="B4" s="99" t="s">
        <v>30</v>
      </c>
      <c r="C4" s="100"/>
    </row>
    <row r="6" spans="1:18" x14ac:dyDescent="0.3">
      <c r="B6" s="48"/>
      <c r="C6" s="46" t="s">
        <v>11</v>
      </c>
      <c r="D6" s="46" t="s">
        <v>12</v>
      </c>
      <c r="E6" s="46" t="s">
        <v>13</v>
      </c>
      <c r="F6" s="46" t="s">
        <v>14</v>
      </c>
      <c r="G6" s="46" t="s">
        <v>15</v>
      </c>
      <c r="H6" s="46" t="s">
        <v>16</v>
      </c>
      <c r="I6" s="46" t="s">
        <v>2</v>
      </c>
      <c r="J6" s="46" t="s">
        <v>3</v>
      </c>
      <c r="K6" s="46" t="s">
        <v>4</v>
      </c>
      <c r="L6" s="46" t="s">
        <v>5</v>
      </c>
      <c r="M6" s="46" t="s">
        <v>6</v>
      </c>
      <c r="N6" s="46" t="s">
        <v>7</v>
      </c>
    </row>
    <row r="7" spans="1:18" x14ac:dyDescent="0.3">
      <c r="B7" s="56" t="s">
        <v>28</v>
      </c>
      <c r="C7" s="54">
        <f>IF('TOTAL SHEET'!C9,'TOTAL SHEET'!C9,0)</f>
        <v>0</v>
      </c>
      <c r="D7" s="54">
        <f>IF('TOTAL SHEET'!D9,'TOTAL SHEET'!D9,0)</f>
        <v>0</v>
      </c>
      <c r="E7" s="54">
        <f>IF('TOTAL SHEET'!E9,'TOTAL SHEET'!E9,0)</f>
        <v>0</v>
      </c>
      <c r="F7" s="54">
        <f>IF('TOTAL SHEET'!F9,'TOTAL SHEET'!F9,0)</f>
        <v>0</v>
      </c>
      <c r="G7" s="54">
        <f>IF('TOTAL SHEET'!G9,'TOTAL SHEET'!G9,0)</f>
        <v>0</v>
      </c>
      <c r="H7" s="54">
        <f>IF('TOTAL SHEET'!H9,'TOTAL SHEET'!H9,0)</f>
        <v>0</v>
      </c>
      <c r="I7" s="54">
        <f>IF('TOTAL SHEET'!I9,'TOTAL SHEET'!I9,0)</f>
        <v>0</v>
      </c>
      <c r="J7" s="54">
        <f>IF('TOTAL SHEET'!J9,'TOTAL SHEET'!J9,0)</f>
        <v>0</v>
      </c>
      <c r="K7" s="54">
        <f>IF('TOTAL SHEET'!K9,'TOTAL SHEET'!K9,0)</f>
        <v>0</v>
      </c>
      <c r="L7" s="54">
        <f>IF('TOTAL SHEET'!L9,'TOTAL SHEET'!L9,0)</f>
        <v>0</v>
      </c>
      <c r="M7" s="54">
        <f>IF('TOTAL SHEET'!M9,'TOTAL SHEET'!M9,0)</f>
        <v>0</v>
      </c>
      <c r="N7" s="54">
        <f>IF('TOTAL SHEET'!N9,'TOTAL SHEET'!N9,0)</f>
        <v>0</v>
      </c>
      <c r="P7" s="61" t="s">
        <v>38</v>
      </c>
      <c r="Q7" s="58" t="s">
        <v>20</v>
      </c>
      <c r="R7" s="49">
        <f>SUM(C7+D7+E7+F7+G7+H7+I7+J7+K7+L7+M7+N7-C8-D8-E8-F8-G8-H8-I8-J8-K8-L8-M8-N8)</f>
        <v>0</v>
      </c>
    </row>
    <row r="8" spans="1:18" x14ac:dyDescent="0.3">
      <c r="B8" s="56" t="s">
        <v>10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</row>
    <row r="11" spans="1:18" x14ac:dyDescent="0.3">
      <c r="B11" s="99" t="s">
        <v>31</v>
      </c>
      <c r="C11" s="100"/>
    </row>
    <row r="13" spans="1:18" x14ac:dyDescent="0.3">
      <c r="B13" s="48"/>
      <c r="C13" s="46" t="s">
        <v>11</v>
      </c>
      <c r="D13" s="46" t="s">
        <v>12</v>
      </c>
      <c r="E13" s="46" t="s">
        <v>13</v>
      </c>
      <c r="F13" s="46" t="s">
        <v>14</v>
      </c>
      <c r="G13" s="46" t="s">
        <v>15</v>
      </c>
      <c r="H13" s="46" t="s">
        <v>16</v>
      </c>
      <c r="I13" s="46" t="s">
        <v>2</v>
      </c>
      <c r="J13" s="46" t="s">
        <v>3</v>
      </c>
      <c r="K13" s="46" t="s">
        <v>4</v>
      </c>
      <c r="L13" s="46" t="s">
        <v>5</v>
      </c>
      <c r="M13" s="46" t="s">
        <v>6</v>
      </c>
      <c r="N13" s="46" t="s">
        <v>7</v>
      </c>
    </row>
    <row r="14" spans="1:18" x14ac:dyDescent="0.3">
      <c r="B14" s="56" t="s">
        <v>28</v>
      </c>
      <c r="C14" s="57">
        <f>IF('TOTAL SHEET'!C26,'TOTAL SHEET'!C26,0)</f>
        <v>0</v>
      </c>
      <c r="D14" s="57">
        <f>IF('TOTAL SHEET'!D26,'TOTAL SHEET'!D26,0)</f>
        <v>0</v>
      </c>
      <c r="E14" s="57">
        <f>IF('TOTAL SHEET'!E26,'TOTAL SHEET'!E26,0)</f>
        <v>0</v>
      </c>
      <c r="F14" s="57">
        <f>IF('TOTAL SHEET'!F26,'TOTAL SHEET'!F26,0)</f>
        <v>0</v>
      </c>
      <c r="G14" s="57">
        <f>IF('TOTAL SHEET'!G26,'TOTAL SHEET'!G26,0)</f>
        <v>0</v>
      </c>
      <c r="H14" s="57">
        <f>IF('TOTAL SHEET'!H26,'TOTAL SHEET'!H26,0)</f>
        <v>0</v>
      </c>
      <c r="I14" s="57">
        <f>IF('TOTAL SHEET'!I26,'TOTAL SHEET'!I26,0)</f>
        <v>0</v>
      </c>
      <c r="J14" s="57">
        <f>IF('TOTAL SHEET'!J26,'TOTAL SHEET'!J26,0)</f>
        <v>0</v>
      </c>
      <c r="K14" s="57">
        <f>IF('TOTAL SHEET'!K26,'TOTAL SHEET'!K26,0)</f>
        <v>0</v>
      </c>
      <c r="L14" s="57">
        <f>IF('TOTAL SHEET'!L26,'TOTAL SHEET'!L26,0)</f>
        <v>0</v>
      </c>
      <c r="M14" s="57">
        <f>IF('TOTAL SHEET'!M26,'TOTAL SHEET'!M26,0)</f>
        <v>0</v>
      </c>
      <c r="N14" s="57">
        <f>IF('TOTAL SHEET'!N26,'TOTAL SHEET'!N26,0)</f>
        <v>0</v>
      </c>
      <c r="P14" s="61" t="s">
        <v>29</v>
      </c>
      <c r="Q14" s="58" t="s">
        <v>20</v>
      </c>
      <c r="R14" s="49">
        <f>SUM(C14+D14+E14+F14+G14+H14+I14+J14+K14+L14+M14+N14-C15-D15-E15-F15-G15-H15-I15-J15-K15-L15-M15-N15)</f>
        <v>0</v>
      </c>
    </row>
    <row r="15" spans="1:18" x14ac:dyDescent="0.3">
      <c r="B15" s="56" t="s">
        <v>10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</row>
    <row r="18" spans="2:18" x14ac:dyDescent="0.3">
      <c r="B18" s="99" t="s">
        <v>32</v>
      </c>
      <c r="C18" s="100"/>
    </row>
    <row r="20" spans="2:18" x14ac:dyDescent="0.3">
      <c r="B20" s="48"/>
      <c r="C20" s="46" t="s">
        <v>11</v>
      </c>
      <c r="D20" s="46" t="s">
        <v>12</v>
      </c>
      <c r="E20" s="46" t="s">
        <v>13</v>
      </c>
      <c r="F20" s="46" t="s">
        <v>14</v>
      </c>
      <c r="G20" s="46" t="s">
        <v>15</v>
      </c>
      <c r="H20" s="46" t="s">
        <v>16</v>
      </c>
      <c r="I20" s="46" t="s">
        <v>2</v>
      </c>
      <c r="J20" s="46" t="s">
        <v>3</v>
      </c>
      <c r="K20" s="46" t="s">
        <v>4</v>
      </c>
      <c r="L20" s="46" t="s">
        <v>5</v>
      </c>
      <c r="M20" s="46" t="s">
        <v>6</v>
      </c>
      <c r="N20" s="46" t="s">
        <v>7</v>
      </c>
    </row>
    <row r="21" spans="2:18" x14ac:dyDescent="0.3">
      <c r="B21" s="56" t="s">
        <v>28</v>
      </c>
      <c r="C21" s="57">
        <f>IF('TOTAL SHEET'!C43,'TOTAL SHEET'!C43,0)</f>
        <v>0</v>
      </c>
      <c r="D21" s="57">
        <f>IF('TOTAL SHEET'!D43,'TOTAL SHEET'!D43,0)</f>
        <v>0</v>
      </c>
      <c r="E21" s="57">
        <f>IF('TOTAL SHEET'!E43,'TOTAL SHEET'!E43,0)</f>
        <v>0</v>
      </c>
      <c r="F21" s="57">
        <f>IF('TOTAL SHEET'!F43,'TOTAL SHEET'!F43,0)</f>
        <v>0</v>
      </c>
      <c r="G21" s="57">
        <f>IF('TOTAL SHEET'!G43,'TOTAL SHEET'!G43,0)</f>
        <v>0</v>
      </c>
      <c r="H21" s="57">
        <f>IF('TOTAL SHEET'!H43,'TOTAL SHEET'!H43,0)</f>
        <v>0</v>
      </c>
      <c r="I21" s="57">
        <f>IF('TOTAL SHEET'!I43,'TOTAL SHEET'!I43,0)</f>
        <v>0</v>
      </c>
      <c r="J21" s="57">
        <f>IF('TOTAL SHEET'!J43,'TOTAL SHEET'!J43,0)</f>
        <v>0</v>
      </c>
      <c r="K21" s="57">
        <f>IF('TOTAL SHEET'!K43,'TOTAL SHEET'!K43,0)</f>
        <v>0</v>
      </c>
      <c r="L21" s="57">
        <f>IF('TOTAL SHEET'!L43,'TOTAL SHEET'!L43,0)</f>
        <v>0</v>
      </c>
      <c r="M21" s="57">
        <f>IF('TOTAL SHEET'!M43,'TOTAL SHEET'!M43,0)</f>
        <v>0</v>
      </c>
      <c r="N21" s="57">
        <f>IF('TOTAL SHEET'!N43,'TOTAL SHEET'!N43,0)</f>
        <v>0</v>
      </c>
      <c r="P21" s="61" t="s">
        <v>38</v>
      </c>
      <c r="Q21" s="58" t="s">
        <v>20</v>
      </c>
      <c r="R21" s="49">
        <f>SUM(C21+D21+E21+F21+G21+H21+I21+J21+K21+L21+M21+N21-C22-D22-E22-F22-G22-H22-I22-J22-K22-L22-M22-N22)</f>
        <v>0</v>
      </c>
    </row>
    <row r="22" spans="2:18" x14ac:dyDescent="0.3">
      <c r="B22" s="56" t="s">
        <v>10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</row>
    <row r="25" spans="2:18" x14ac:dyDescent="0.3">
      <c r="B25" s="99" t="s">
        <v>33</v>
      </c>
      <c r="C25" s="100"/>
    </row>
    <row r="27" spans="2:18" x14ac:dyDescent="0.3">
      <c r="B27" s="48"/>
      <c r="C27" s="46" t="s">
        <v>11</v>
      </c>
      <c r="D27" s="46" t="s">
        <v>12</v>
      </c>
      <c r="E27" s="46" t="s">
        <v>13</v>
      </c>
      <c r="F27" s="46" t="s">
        <v>14</v>
      </c>
      <c r="G27" s="46" t="s">
        <v>15</v>
      </c>
      <c r="H27" s="46" t="s">
        <v>16</v>
      </c>
      <c r="I27" s="46" t="s">
        <v>2</v>
      </c>
      <c r="J27" s="46" t="s">
        <v>3</v>
      </c>
      <c r="K27" s="46" t="s">
        <v>4</v>
      </c>
      <c r="L27" s="46" t="s">
        <v>5</v>
      </c>
      <c r="M27" s="46" t="s">
        <v>6</v>
      </c>
      <c r="N27" s="46" t="s">
        <v>7</v>
      </c>
    </row>
    <row r="28" spans="2:18" x14ac:dyDescent="0.3">
      <c r="B28" s="56" t="s">
        <v>28</v>
      </c>
      <c r="C28" s="57">
        <f>IF('TOTAL SHEET'!C59,'TOTAL SHEET'!C59,0)</f>
        <v>0</v>
      </c>
      <c r="D28" s="57">
        <f>IF('TOTAL SHEET'!D59,'TOTAL SHEET'!D59,0)</f>
        <v>0</v>
      </c>
      <c r="E28" s="57">
        <f>IF('TOTAL SHEET'!E59,'TOTAL SHEET'!E59,0)</f>
        <v>0</v>
      </c>
      <c r="F28" s="57">
        <f>IF('TOTAL SHEET'!F59,'TOTAL SHEET'!F59,0)</f>
        <v>0</v>
      </c>
      <c r="G28" s="57">
        <f>IF('TOTAL SHEET'!G59,'TOTAL SHEET'!G59,0)</f>
        <v>0</v>
      </c>
      <c r="H28" s="57">
        <f>IF('TOTAL SHEET'!H59,'TOTAL SHEET'!H59,0)</f>
        <v>0</v>
      </c>
      <c r="I28" s="57">
        <f>IF('TOTAL SHEET'!I59,'TOTAL SHEET'!I59,0)</f>
        <v>0</v>
      </c>
      <c r="J28" s="57">
        <f>IF('TOTAL SHEET'!J59,'TOTAL SHEET'!J59,0)</f>
        <v>0</v>
      </c>
      <c r="K28" s="57">
        <f>IF('TOTAL SHEET'!K59,'TOTAL SHEET'!K59,0)</f>
        <v>0</v>
      </c>
      <c r="L28" s="57">
        <f>IF('TOTAL SHEET'!L59,'TOTAL SHEET'!L59,0)</f>
        <v>0</v>
      </c>
      <c r="M28" s="57">
        <f>IF('TOTAL SHEET'!M59,'TOTAL SHEET'!M59,0)</f>
        <v>0</v>
      </c>
      <c r="N28" s="57">
        <f>IF('TOTAL SHEET'!N59,'TOTAL SHEET'!N59,0)</f>
        <v>0</v>
      </c>
      <c r="P28" s="61" t="s">
        <v>38</v>
      </c>
      <c r="Q28" s="58" t="s">
        <v>20</v>
      </c>
      <c r="R28" s="49">
        <f>SUM(C28+D28+E28+F28+G28+H28+I28+J28+K28+L28+M28+N28-C29-D29-E29-F29-G29-H29-I29-J29-K29-L29-M29-N29)</f>
        <v>0</v>
      </c>
    </row>
    <row r="29" spans="2:18" x14ac:dyDescent="0.3">
      <c r="B29" s="56" t="s">
        <v>10</v>
      </c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</row>
    <row r="32" spans="2:18" x14ac:dyDescent="0.3">
      <c r="B32" s="99" t="s">
        <v>40</v>
      </c>
      <c r="C32" s="100"/>
    </row>
    <row r="34" spans="2:18" x14ac:dyDescent="0.3">
      <c r="B34" s="48"/>
      <c r="C34" s="46" t="s">
        <v>11</v>
      </c>
      <c r="D34" s="46" t="s">
        <v>12</v>
      </c>
      <c r="E34" s="46" t="s">
        <v>13</v>
      </c>
      <c r="F34" s="46" t="s">
        <v>14</v>
      </c>
      <c r="G34" s="46" t="s">
        <v>15</v>
      </c>
      <c r="H34" s="46" t="s">
        <v>16</v>
      </c>
      <c r="I34" s="46" t="s">
        <v>2</v>
      </c>
      <c r="J34" s="46" t="s">
        <v>3</v>
      </c>
      <c r="K34" s="46" t="s">
        <v>4</v>
      </c>
      <c r="L34" s="46" t="s">
        <v>5</v>
      </c>
      <c r="M34" s="46" t="s">
        <v>6</v>
      </c>
      <c r="N34" s="46" t="s">
        <v>7</v>
      </c>
    </row>
    <row r="35" spans="2:18" x14ac:dyDescent="0.3">
      <c r="B35" s="56" t="s">
        <v>28</v>
      </c>
      <c r="C35" s="57">
        <f>IF('TOTAL SHEET'!C76,'TOTAL SHEET'!C76,0)</f>
        <v>0</v>
      </c>
      <c r="D35" s="57">
        <f>IF('TOTAL SHEET'!D76,'TOTAL SHEET'!D76,0)</f>
        <v>0</v>
      </c>
      <c r="E35" s="57">
        <f>IF('TOTAL SHEET'!E76,'TOTAL SHEET'!E76,0)</f>
        <v>0</v>
      </c>
      <c r="F35" s="57">
        <f>IF('TOTAL SHEET'!F76,'TOTAL SHEET'!F76,0)</f>
        <v>0</v>
      </c>
      <c r="G35" s="57">
        <f>IF('TOTAL SHEET'!G76,'TOTAL SHEET'!G76,0)</f>
        <v>0</v>
      </c>
      <c r="H35" s="57">
        <f>IF('TOTAL SHEET'!H76,'TOTAL SHEET'!H76,0)</f>
        <v>0</v>
      </c>
      <c r="I35" s="57">
        <f>IF('TOTAL SHEET'!I76,'TOTAL SHEET'!I76,0)</f>
        <v>0</v>
      </c>
      <c r="J35" s="57">
        <f>IF('TOTAL SHEET'!J76,'TOTAL SHEET'!J76,0)</f>
        <v>0</v>
      </c>
      <c r="K35" s="57">
        <f>IF('TOTAL SHEET'!K76,'TOTAL SHEET'!K76,0)</f>
        <v>0</v>
      </c>
      <c r="L35" s="57">
        <f>IF('TOTAL SHEET'!L76,'TOTAL SHEET'!L76,0)</f>
        <v>0</v>
      </c>
      <c r="M35" s="57">
        <f>IF('TOTAL SHEET'!M76,'TOTAL SHEET'!M76,0)</f>
        <v>0</v>
      </c>
      <c r="N35" s="57">
        <f>IF('TOTAL SHEET'!N76,'TOTAL SHEET'!N76,0)</f>
        <v>0</v>
      </c>
      <c r="P35" s="65" t="s">
        <v>38</v>
      </c>
      <c r="Q35" s="58" t="s">
        <v>20</v>
      </c>
      <c r="R35" s="49">
        <f>SUM(C35+D35+E35+F35+G35+H35+I35+J35+K35+L35+M35+N35-C36-D36-E36-F36-G36-H36-I36-J36-K36-L36-M36-N36)</f>
        <v>0</v>
      </c>
    </row>
    <row r="36" spans="2:18" x14ac:dyDescent="0.3">
      <c r="B36" s="56" t="s">
        <v>10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</row>
  </sheetData>
  <sheetProtection algorithmName="SHA-512" hashValue="3FHsYCWEKCTPvsC5tjexbaqcDPiP/eTZaj0rofBCeLqNz1tLvmZh3AvL7uLbhOf1ufj/WJk4W9zU3PXXYfNkrQ==" saltValue="zH5av7nudPuT/M+1m76XQw==" spinCount="100000" sheet="1" objects="1" scenarios="1"/>
  <mergeCells count="8">
    <mergeCell ref="F1:G1"/>
    <mergeCell ref="B2:D2"/>
    <mergeCell ref="B4:C4"/>
    <mergeCell ref="B32:C32"/>
    <mergeCell ref="B18:C18"/>
    <mergeCell ref="B25:C25"/>
    <mergeCell ref="B11:C11"/>
    <mergeCell ref="B1:D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R36"/>
  <sheetViews>
    <sheetView workbookViewId="0">
      <selection activeCell="F7" sqref="F7"/>
    </sheetView>
  </sheetViews>
  <sheetFormatPr defaultColWidth="9.109375" defaultRowHeight="14.4" x14ac:dyDescent="0.3"/>
  <cols>
    <col min="1" max="1" width="9.109375" style="18"/>
    <col min="2" max="2" width="11.33203125" style="18" bestFit="1" customWidth="1"/>
    <col min="3" max="3" width="9.109375" style="18" customWidth="1"/>
    <col min="4" max="10" width="9.109375" style="18"/>
    <col min="11" max="11" width="10.88671875" style="18" bestFit="1" customWidth="1"/>
    <col min="12" max="12" width="9.109375" style="18"/>
    <col min="13" max="13" width="10.44140625" style="18" bestFit="1" customWidth="1"/>
    <col min="14" max="14" width="10.109375" style="18" bestFit="1" customWidth="1"/>
    <col min="15" max="16384" width="9.109375" style="18"/>
  </cols>
  <sheetData>
    <row r="1" spans="1:18" x14ac:dyDescent="0.3">
      <c r="A1" s="19" t="s">
        <v>0</v>
      </c>
      <c r="B1" s="103" t="s">
        <v>25</v>
      </c>
      <c r="C1" s="104"/>
      <c r="D1" s="105"/>
      <c r="F1" s="101" t="s">
        <v>20</v>
      </c>
      <c r="G1" s="102"/>
      <c r="H1" s="59">
        <f>SUM(R7+R14+R21+R28+R35)</f>
        <v>0</v>
      </c>
    </row>
    <row r="2" spans="1:18" x14ac:dyDescent="0.3">
      <c r="A2" s="19" t="s">
        <v>19</v>
      </c>
      <c r="B2" s="106">
        <v>5</v>
      </c>
      <c r="C2" s="107"/>
      <c r="D2" s="108"/>
    </row>
    <row r="4" spans="1:18" x14ac:dyDescent="0.3">
      <c r="B4" s="99" t="s">
        <v>30</v>
      </c>
      <c r="C4" s="100"/>
    </row>
    <row r="6" spans="1:18" x14ac:dyDescent="0.3">
      <c r="B6" s="48"/>
      <c r="C6" s="46" t="s">
        <v>11</v>
      </c>
      <c r="D6" s="46" t="s">
        <v>12</v>
      </c>
      <c r="E6" s="46" t="s">
        <v>13</v>
      </c>
      <c r="F6" s="46" t="s">
        <v>14</v>
      </c>
      <c r="G6" s="46" t="s">
        <v>15</v>
      </c>
      <c r="H6" s="46" t="s">
        <v>16</v>
      </c>
      <c r="I6" s="46" t="s">
        <v>2</v>
      </c>
      <c r="J6" s="46" t="s">
        <v>3</v>
      </c>
      <c r="K6" s="46" t="s">
        <v>4</v>
      </c>
      <c r="L6" s="46" t="s">
        <v>5</v>
      </c>
      <c r="M6" s="46" t="s">
        <v>6</v>
      </c>
      <c r="N6" s="46" t="s">
        <v>7</v>
      </c>
    </row>
    <row r="7" spans="1:18" x14ac:dyDescent="0.3">
      <c r="B7" s="56" t="s">
        <v>28</v>
      </c>
      <c r="C7" s="54">
        <f>IF('TOTAL SHEET'!C10,'TOTAL SHEET'!C10,0)</f>
        <v>0</v>
      </c>
      <c r="D7" s="54">
        <f>IF('TOTAL SHEET'!D10,'TOTAL SHEET'!D10,0)</f>
        <v>0</v>
      </c>
      <c r="E7" s="54">
        <f>IF('TOTAL SHEET'!E10,'TOTAL SHEET'!E10,0)</f>
        <v>0</v>
      </c>
      <c r="F7" s="54">
        <f>IF('TOTAL SHEET'!F10,'TOTAL SHEET'!F10,0)</f>
        <v>0</v>
      </c>
      <c r="G7" s="54">
        <f>IF('TOTAL SHEET'!G10,'TOTAL SHEET'!G10,0)</f>
        <v>0</v>
      </c>
      <c r="H7" s="54">
        <f>IF('TOTAL SHEET'!H10,'TOTAL SHEET'!H10,0)</f>
        <v>0</v>
      </c>
      <c r="I7" s="54">
        <f>IF('TOTAL SHEET'!I10,'TOTAL SHEET'!I10,0)</f>
        <v>0</v>
      </c>
      <c r="J7" s="54">
        <f>IF('TOTAL SHEET'!J10,'TOTAL SHEET'!J10,0)</f>
        <v>0</v>
      </c>
      <c r="K7" s="54">
        <f>IF('TOTAL SHEET'!K10,'TOTAL SHEET'!K10,0)</f>
        <v>0</v>
      </c>
      <c r="L7" s="54">
        <f>IF('TOTAL SHEET'!L10,'TOTAL SHEET'!L10,0)</f>
        <v>0</v>
      </c>
      <c r="M7" s="54">
        <f>IF('TOTAL SHEET'!M10,'TOTAL SHEET'!M10,0)</f>
        <v>0</v>
      </c>
      <c r="N7" s="54">
        <f>IF('TOTAL SHEET'!N10,'TOTAL SHEET'!N10,0)</f>
        <v>0</v>
      </c>
      <c r="P7" s="61" t="s">
        <v>38</v>
      </c>
      <c r="Q7" s="58" t="s">
        <v>20</v>
      </c>
      <c r="R7" s="49">
        <f>SUM(C7+D7+E7+F7+G7+H7+I7+J7+K7+L7+M7+N7-C8-D8-E8-F8-G8-H8-I8-J8-K8-L8-M8-N8)</f>
        <v>0</v>
      </c>
    </row>
    <row r="8" spans="1:18" x14ac:dyDescent="0.3">
      <c r="B8" s="56" t="s">
        <v>10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</row>
    <row r="11" spans="1:18" x14ac:dyDescent="0.3">
      <c r="B11" s="99" t="s">
        <v>31</v>
      </c>
      <c r="C11" s="100"/>
    </row>
    <row r="13" spans="1:18" x14ac:dyDescent="0.3">
      <c r="B13" s="48"/>
      <c r="C13" s="46" t="s">
        <v>11</v>
      </c>
      <c r="D13" s="46" t="s">
        <v>12</v>
      </c>
      <c r="E13" s="46" t="s">
        <v>13</v>
      </c>
      <c r="F13" s="46" t="s">
        <v>14</v>
      </c>
      <c r="G13" s="46" t="s">
        <v>15</v>
      </c>
      <c r="H13" s="46" t="s">
        <v>16</v>
      </c>
      <c r="I13" s="46" t="s">
        <v>2</v>
      </c>
      <c r="J13" s="46" t="s">
        <v>3</v>
      </c>
      <c r="K13" s="46" t="s">
        <v>4</v>
      </c>
      <c r="L13" s="46" t="s">
        <v>5</v>
      </c>
      <c r="M13" s="46" t="s">
        <v>6</v>
      </c>
      <c r="N13" s="46" t="s">
        <v>7</v>
      </c>
    </row>
    <row r="14" spans="1:18" x14ac:dyDescent="0.3">
      <c r="B14" s="56" t="s">
        <v>28</v>
      </c>
      <c r="C14" s="57">
        <f>IF('TOTAL SHEET'!C27,'TOTAL SHEET'!C27,0)</f>
        <v>0</v>
      </c>
      <c r="D14" s="57">
        <f>IF('TOTAL SHEET'!D27,'TOTAL SHEET'!D27,0)</f>
        <v>0</v>
      </c>
      <c r="E14" s="57">
        <f>IF('TOTAL SHEET'!E27,'TOTAL SHEET'!E27,0)</f>
        <v>0</v>
      </c>
      <c r="F14" s="57">
        <f>IF('TOTAL SHEET'!F27,'TOTAL SHEET'!F27,0)</f>
        <v>0</v>
      </c>
      <c r="G14" s="57">
        <f>IF('TOTAL SHEET'!G27,'TOTAL SHEET'!G27,0)</f>
        <v>0</v>
      </c>
      <c r="H14" s="57">
        <f>IF('TOTAL SHEET'!H27,'TOTAL SHEET'!H27,0)</f>
        <v>0</v>
      </c>
      <c r="I14" s="57">
        <f>IF('TOTAL SHEET'!I27,'TOTAL SHEET'!I27,0)</f>
        <v>0</v>
      </c>
      <c r="J14" s="57">
        <f>IF('TOTAL SHEET'!J27,'TOTAL SHEET'!J27,0)</f>
        <v>0</v>
      </c>
      <c r="K14" s="57">
        <f>IF('TOTAL SHEET'!K27,'TOTAL SHEET'!K27,0)</f>
        <v>0</v>
      </c>
      <c r="L14" s="57">
        <f>IF('TOTAL SHEET'!L27,'TOTAL SHEET'!L27,0)</f>
        <v>0</v>
      </c>
      <c r="M14" s="57">
        <f>IF('TOTAL SHEET'!M27,'TOTAL SHEET'!M27,0)</f>
        <v>0</v>
      </c>
      <c r="N14" s="57">
        <f>IF('TOTAL SHEET'!N27,'TOTAL SHEET'!N27,0)</f>
        <v>0</v>
      </c>
      <c r="P14" s="61" t="s">
        <v>38</v>
      </c>
      <c r="Q14" s="58" t="s">
        <v>20</v>
      </c>
      <c r="R14" s="49">
        <f>SUM(C14+D14+E14+F14+G14+H14+I14+J14+K14+L14+M14+N14-C15-D15-E15-F15-G15-H15-I15-J15-K15-L15-M15-N15)</f>
        <v>0</v>
      </c>
    </row>
    <row r="15" spans="1:18" x14ac:dyDescent="0.3">
      <c r="B15" s="56" t="s">
        <v>10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</row>
    <row r="18" spans="2:18" x14ac:dyDescent="0.3">
      <c r="B18" s="99" t="s">
        <v>32</v>
      </c>
      <c r="C18" s="100"/>
    </row>
    <row r="20" spans="2:18" x14ac:dyDescent="0.3">
      <c r="B20" s="48"/>
      <c r="C20" s="46" t="s">
        <v>11</v>
      </c>
      <c r="D20" s="46" t="s">
        <v>12</v>
      </c>
      <c r="E20" s="46" t="s">
        <v>13</v>
      </c>
      <c r="F20" s="46" t="s">
        <v>14</v>
      </c>
      <c r="G20" s="46" t="s">
        <v>15</v>
      </c>
      <c r="H20" s="46" t="s">
        <v>16</v>
      </c>
      <c r="I20" s="46" t="s">
        <v>2</v>
      </c>
      <c r="J20" s="46" t="s">
        <v>3</v>
      </c>
      <c r="K20" s="46" t="s">
        <v>4</v>
      </c>
      <c r="L20" s="46" t="s">
        <v>5</v>
      </c>
      <c r="M20" s="46" t="s">
        <v>6</v>
      </c>
      <c r="N20" s="46" t="s">
        <v>7</v>
      </c>
    </row>
    <row r="21" spans="2:18" x14ac:dyDescent="0.3">
      <c r="B21" s="56" t="s">
        <v>28</v>
      </c>
      <c r="C21" s="57">
        <f>IF('TOTAL SHEET'!C44,'TOTAL SHEET'!C44,0)</f>
        <v>0</v>
      </c>
      <c r="D21" s="57">
        <f>IF('TOTAL SHEET'!D44,'TOTAL SHEET'!D44,0)</f>
        <v>0</v>
      </c>
      <c r="E21" s="57">
        <f>IF('TOTAL SHEET'!E44,'TOTAL SHEET'!E44,0)</f>
        <v>0</v>
      </c>
      <c r="F21" s="57">
        <f>IF('TOTAL SHEET'!F44,'TOTAL SHEET'!F44,0)</f>
        <v>0</v>
      </c>
      <c r="G21" s="57">
        <f>IF('TOTAL SHEET'!G44,'TOTAL SHEET'!G44,0)</f>
        <v>0</v>
      </c>
      <c r="H21" s="57">
        <f>IF('TOTAL SHEET'!H44,'TOTAL SHEET'!H44,0)</f>
        <v>0</v>
      </c>
      <c r="I21" s="57">
        <f>IF('TOTAL SHEET'!I44,'TOTAL SHEET'!I44,0)</f>
        <v>0</v>
      </c>
      <c r="J21" s="57">
        <f>IF('TOTAL SHEET'!J44,'TOTAL SHEET'!J44,0)</f>
        <v>0</v>
      </c>
      <c r="K21" s="57">
        <f>IF('TOTAL SHEET'!K44,'TOTAL SHEET'!K44,0)</f>
        <v>0</v>
      </c>
      <c r="L21" s="57">
        <f>IF('TOTAL SHEET'!L44,'TOTAL SHEET'!L44,0)</f>
        <v>0</v>
      </c>
      <c r="M21" s="57">
        <f>IF('TOTAL SHEET'!M44,'TOTAL SHEET'!M44,0)</f>
        <v>0</v>
      </c>
      <c r="N21" s="57">
        <f>IF('TOTAL SHEET'!N44,'TOTAL SHEET'!N44,0)</f>
        <v>0</v>
      </c>
      <c r="P21" s="61" t="s">
        <v>38</v>
      </c>
      <c r="Q21" s="58" t="s">
        <v>20</v>
      </c>
      <c r="R21" s="49">
        <f>SUM(C21+D21+E21+F21+G21+H21+I21+J21+K21+L21+M21+N21-C22-D22-E22-F22-G22-H22-I22-J22-K22-L22-M22-N22)</f>
        <v>0</v>
      </c>
    </row>
    <row r="22" spans="2:18" x14ac:dyDescent="0.3">
      <c r="B22" s="56" t="s">
        <v>10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</row>
    <row r="25" spans="2:18" x14ac:dyDescent="0.3">
      <c r="B25" s="99" t="s">
        <v>33</v>
      </c>
      <c r="C25" s="100"/>
    </row>
    <row r="27" spans="2:18" x14ac:dyDescent="0.3">
      <c r="B27" s="48"/>
      <c r="C27" s="46" t="s">
        <v>11</v>
      </c>
      <c r="D27" s="46" t="s">
        <v>12</v>
      </c>
      <c r="E27" s="46" t="s">
        <v>13</v>
      </c>
      <c r="F27" s="46" t="s">
        <v>14</v>
      </c>
      <c r="G27" s="46" t="s">
        <v>15</v>
      </c>
      <c r="H27" s="46" t="s">
        <v>16</v>
      </c>
      <c r="I27" s="46" t="s">
        <v>2</v>
      </c>
      <c r="J27" s="46" t="s">
        <v>3</v>
      </c>
      <c r="K27" s="46" t="s">
        <v>4</v>
      </c>
      <c r="L27" s="46" t="s">
        <v>5</v>
      </c>
      <c r="M27" s="46" t="s">
        <v>6</v>
      </c>
      <c r="N27" s="46" t="s">
        <v>7</v>
      </c>
    </row>
    <row r="28" spans="2:18" x14ac:dyDescent="0.3">
      <c r="B28" s="56" t="s">
        <v>28</v>
      </c>
      <c r="C28" s="57">
        <f>IF('TOTAL SHEET'!C60,'TOTAL SHEET'!C60,0)</f>
        <v>0</v>
      </c>
      <c r="D28" s="57">
        <f>IF('TOTAL SHEET'!D60,'TOTAL SHEET'!D60,0)</f>
        <v>0</v>
      </c>
      <c r="E28" s="57">
        <f>IF('TOTAL SHEET'!E60,'TOTAL SHEET'!E60,0)</f>
        <v>0</v>
      </c>
      <c r="F28" s="57">
        <f>IF('TOTAL SHEET'!F60,'TOTAL SHEET'!F60,0)</f>
        <v>0</v>
      </c>
      <c r="G28" s="57">
        <f>IF('TOTAL SHEET'!G60,'TOTAL SHEET'!G60,0)</f>
        <v>0</v>
      </c>
      <c r="H28" s="57">
        <f>IF('TOTAL SHEET'!H60,'TOTAL SHEET'!H60,0)</f>
        <v>0</v>
      </c>
      <c r="I28" s="57">
        <f>IF('TOTAL SHEET'!I60,'TOTAL SHEET'!I60,0)</f>
        <v>0</v>
      </c>
      <c r="J28" s="57">
        <f>IF('TOTAL SHEET'!J60,'TOTAL SHEET'!J60,0)</f>
        <v>0</v>
      </c>
      <c r="K28" s="57">
        <f>IF('TOTAL SHEET'!K60,'TOTAL SHEET'!K60,0)</f>
        <v>0</v>
      </c>
      <c r="L28" s="57">
        <f>IF('TOTAL SHEET'!L60,'TOTAL SHEET'!L60,0)</f>
        <v>0</v>
      </c>
      <c r="M28" s="57">
        <f>IF('TOTAL SHEET'!M60,'TOTAL SHEET'!M60,0)</f>
        <v>0</v>
      </c>
      <c r="N28" s="57">
        <f>IF('TOTAL SHEET'!N60,'TOTAL SHEET'!N60,0)</f>
        <v>0</v>
      </c>
      <c r="P28" s="61" t="s">
        <v>38</v>
      </c>
      <c r="Q28" s="58" t="s">
        <v>20</v>
      </c>
      <c r="R28" s="49">
        <f>SUM(C28+D28+E28+F28+G28+H28+I28+J28+K28+L28+M28+N28-C29-D29-E29-F29-G29-H29-I29-J29-K29-L29-M29-N29)</f>
        <v>0</v>
      </c>
    </row>
    <row r="29" spans="2:18" x14ac:dyDescent="0.3">
      <c r="B29" s="56" t="s">
        <v>10</v>
      </c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</row>
    <row r="32" spans="2:18" x14ac:dyDescent="0.3">
      <c r="B32" s="99" t="s">
        <v>40</v>
      </c>
      <c r="C32" s="100"/>
    </row>
    <row r="34" spans="2:18" x14ac:dyDescent="0.3">
      <c r="B34" s="48"/>
      <c r="C34" s="46" t="s">
        <v>11</v>
      </c>
      <c r="D34" s="46" t="s">
        <v>12</v>
      </c>
      <c r="E34" s="46" t="s">
        <v>13</v>
      </c>
      <c r="F34" s="46" t="s">
        <v>14</v>
      </c>
      <c r="G34" s="46" t="s">
        <v>15</v>
      </c>
      <c r="H34" s="46" t="s">
        <v>16</v>
      </c>
      <c r="I34" s="46" t="s">
        <v>2</v>
      </c>
      <c r="J34" s="46" t="s">
        <v>3</v>
      </c>
      <c r="K34" s="46" t="s">
        <v>4</v>
      </c>
      <c r="L34" s="46" t="s">
        <v>5</v>
      </c>
      <c r="M34" s="46" t="s">
        <v>6</v>
      </c>
      <c r="N34" s="46" t="s">
        <v>7</v>
      </c>
    </row>
    <row r="35" spans="2:18" x14ac:dyDescent="0.3">
      <c r="B35" s="56" t="s">
        <v>28</v>
      </c>
      <c r="C35" s="57">
        <f>IF('TOTAL SHEET'!C77,'TOTAL SHEET'!C77,0)</f>
        <v>0</v>
      </c>
      <c r="D35" s="57">
        <f>IF('TOTAL SHEET'!D77,'TOTAL SHEET'!D77,0)</f>
        <v>0</v>
      </c>
      <c r="E35" s="57">
        <f>IF('TOTAL SHEET'!E77,'TOTAL SHEET'!E77,0)</f>
        <v>0</v>
      </c>
      <c r="F35" s="57">
        <f>IF('TOTAL SHEET'!F77,'TOTAL SHEET'!F77,0)</f>
        <v>0</v>
      </c>
      <c r="G35" s="57">
        <f>IF('TOTAL SHEET'!G77,'TOTAL SHEET'!G77,0)</f>
        <v>0</v>
      </c>
      <c r="H35" s="57">
        <f>IF('TOTAL SHEET'!H77,'TOTAL SHEET'!H77,0)</f>
        <v>0</v>
      </c>
      <c r="I35" s="57">
        <f>IF('TOTAL SHEET'!I77,'TOTAL SHEET'!I77,0)</f>
        <v>0</v>
      </c>
      <c r="J35" s="57">
        <f>IF('TOTAL SHEET'!J77,'TOTAL SHEET'!J77,0)</f>
        <v>0</v>
      </c>
      <c r="K35" s="57">
        <f>IF('TOTAL SHEET'!K77,'TOTAL SHEET'!K77,0)</f>
        <v>0</v>
      </c>
      <c r="L35" s="57">
        <f>IF('TOTAL SHEET'!L77,'TOTAL SHEET'!L77,0)</f>
        <v>0</v>
      </c>
      <c r="M35" s="57">
        <f>IF('TOTAL SHEET'!M77,'TOTAL SHEET'!M77,0)</f>
        <v>0</v>
      </c>
      <c r="N35" s="57">
        <f>IF('TOTAL SHEET'!N77,'TOTAL SHEET'!N77,0)</f>
        <v>0</v>
      </c>
      <c r="P35" s="65" t="s">
        <v>38</v>
      </c>
      <c r="Q35" s="58" t="s">
        <v>20</v>
      </c>
      <c r="R35" s="49">
        <f>SUM(C35+D35+E35+F35+G35+H35+I35+J35+K35+L35+M35+N35-C36-D36-E36-F36-G36-H36-I36-J36-K36-L36-M36-N36)</f>
        <v>0</v>
      </c>
    </row>
    <row r="36" spans="2:18" x14ac:dyDescent="0.3">
      <c r="B36" s="56" t="s">
        <v>10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</row>
  </sheetData>
  <sheetProtection algorithmName="SHA-512" hashValue="LYhaFzaDbXrj5ZxP7qn1l8nYVsuRdm8WKpyFmzvJ/F7mrYmkTaMTmKj0SoqWF5VqLSCDiyHotgHN6py4+ZBmOA==" saltValue="Rbz2L7RBj+aSD3eQpCD0Kg==" spinCount="100000" sheet="1" objects="1" scenarios="1"/>
  <mergeCells count="8">
    <mergeCell ref="F1:G1"/>
    <mergeCell ref="B2:D2"/>
    <mergeCell ref="B4:C4"/>
    <mergeCell ref="B32:C32"/>
    <mergeCell ref="B18:C18"/>
    <mergeCell ref="B25:C25"/>
    <mergeCell ref="B11:C11"/>
    <mergeCell ref="B1:D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>
      <selection activeCell="H74" sqref="H74"/>
    </sheetView>
  </sheetViews>
  <sheetFormatPr defaultRowHeight="14.4" x14ac:dyDescent="0.3"/>
  <sheetData/>
  <sheetProtection algorithmName="SHA-512" hashValue="7yJfITVeWEQxxvoh1estdgK06BCIUrsr1z4+7U3Pqfqjr17OcXM6AZBY5NJvKuxTG6aTlq5cz6QHpMOmkOHrdA==" saltValue="nnt3yRLNdLEEl3K00ta+S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TOTAL SHEET</vt:lpstr>
      <vt:lpstr>NAME 01</vt:lpstr>
      <vt:lpstr>NAME 02</vt:lpstr>
      <vt:lpstr>NAME 03</vt:lpstr>
      <vt:lpstr>NAME 04</vt:lpstr>
      <vt:lpstr>NAME 05</vt:lpstr>
      <vt:lpstr>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Sahan Thiloshana Vidanagamage</dc:creator>
  <cp:lastModifiedBy>Sahan Thiloshana</cp:lastModifiedBy>
  <cp:lastPrinted>2017-05-03T03:22:37Z</cp:lastPrinted>
  <dcterms:created xsi:type="dcterms:W3CDTF">2017-05-02T13:08:27Z</dcterms:created>
  <dcterms:modified xsi:type="dcterms:W3CDTF">2022-08-11T11:45:10Z</dcterms:modified>
</cp:coreProperties>
</file>